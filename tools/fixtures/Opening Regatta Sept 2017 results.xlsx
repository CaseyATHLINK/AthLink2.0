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ABC Regatta Information - Dinghy\2017 50th Anniversary Opening Dinghy Regatta 2017\Results\"/>
    </mc:Choice>
  </mc:AlternateContent>
  <bookViews>
    <workbookView xWindow="0" yWindow="0" windowWidth="23040" windowHeight="9396" activeTab="2"/>
  </bookViews>
  <sheets>
    <sheet name="Div A" sheetId="4" r:id="rId1"/>
    <sheet name="Div B" sheetId="7" r:id="rId2"/>
    <sheet name="OP" sheetId="5" r:id="rId3"/>
  </sheets>
  <definedNames>
    <definedName name="_xlnm._FilterDatabase" localSheetId="0" hidden="1">'Div A'!$B$48:$K$48</definedName>
    <definedName name="_xlnm._FilterDatabase" localSheetId="1" hidden="1">'Div B'!$B$47:$I$47</definedName>
    <definedName name="_xlnm._FilterDatabase" localSheetId="2" hidden="1">OP!$B$109:$G$109</definedName>
    <definedName name="_xlnm.Print_Area" localSheetId="0">'Div A'!$A$1:$K$62</definedName>
    <definedName name="_xlnm.Print_Area" localSheetId="1">'Div B'!$A$1:$K$68</definedName>
    <definedName name="_xlnm.Print_Area" localSheetId="2">OP!$A$1:$G$160</definedName>
  </definedNames>
  <calcPr calcId="152511"/>
</workbook>
</file>

<file path=xl/calcChain.xml><?xml version="1.0" encoding="utf-8"?>
<calcChain xmlns="http://schemas.openxmlformats.org/spreadsheetml/2006/main">
  <c r="I57" i="7" l="1"/>
  <c r="I63" i="7"/>
  <c r="I61" i="7"/>
  <c r="I62" i="7"/>
  <c r="I60" i="7"/>
  <c r="I59" i="7"/>
  <c r="I58" i="7"/>
  <c r="I55" i="7"/>
  <c r="I56" i="7"/>
  <c r="I52" i="7"/>
  <c r="I54" i="7"/>
  <c r="I53" i="7"/>
  <c r="I51" i="7"/>
  <c r="I50" i="7"/>
  <c r="I48" i="7"/>
  <c r="I49" i="7"/>
  <c r="G157" i="5"/>
  <c r="G156" i="5"/>
  <c r="G155" i="5"/>
  <c r="G154" i="5"/>
  <c r="G153" i="5"/>
  <c r="G151" i="5"/>
  <c r="G152" i="5"/>
  <c r="G149" i="5"/>
  <c r="G141" i="5"/>
  <c r="G150" i="5"/>
  <c r="G148" i="5"/>
  <c r="G147" i="5"/>
  <c r="G139" i="5"/>
  <c r="G143" i="5"/>
  <c r="G146" i="5"/>
  <c r="G145" i="5"/>
  <c r="G144" i="5"/>
  <c r="G140" i="5"/>
  <c r="G127" i="5"/>
  <c r="G137" i="5"/>
  <c r="G138" i="5"/>
  <c r="G136" i="5"/>
  <c r="G134" i="5"/>
  <c r="G142" i="5"/>
  <c r="G126" i="5"/>
  <c r="G132" i="5"/>
  <c r="G129" i="5"/>
  <c r="G128" i="5"/>
  <c r="G130" i="5"/>
  <c r="G135" i="5"/>
  <c r="G124" i="5"/>
  <c r="G131" i="5"/>
  <c r="G133" i="5"/>
  <c r="G125" i="5"/>
  <c r="G119" i="5"/>
  <c r="G117" i="5"/>
  <c r="G123" i="5"/>
  <c r="G121" i="5"/>
  <c r="G122" i="5"/>
  <c r="G118" i="5"/>
  <c r="G120" i="5"/>
  <c r="G116" i="5"/>
  <c r="G114" i="5"/>
  <c r="G115" i="5"/>
  <c r="G111" i="5"/>
  <c r="G113" i="5"/>
  <c r="G110" i="5"/>
  <c r="G112" i="5"/>
  <c r="J50" i="4"/>
  <c r="J51" i="4"/>
  <c r="J54" i="4"/>
  <c r="J52" i="4"/>
  <c r="J53" i="4"/>
  <c r="J56" i="4"/>
  <c r="J55" i="4"/>
  <c r="J57" i="4"/>
  <c r="J58" i="4"/>
  <c r="J49" i="4"/>
  <c r="I24" i="7"/>
  <c r="J24" i="7" s="1"/>
  <c r="I5" i="7" l="1"/>
  <c r="J5" i="7" s="1"/>
  <c r="I41" i="4" l="1"/>
  <c r="J41" i="4" s="1"/>
  <c r="I42" i="4"/>
  <c r="J42" i="4" s="1"/>
  <c r="I34" i="4"/>
  <c r="J34" i="4" s="1"/>
  <c r="I37" i="4"/>
  <c r="J37" i="4" s="1"/>
  <c r="I38" i="4"/>
  <c r="J38" i="4" s="1"/>
  <c r="I40" i="4"/>
  <c r="J40" i="4" s="1"/>
  <c r="I39" i="4"/>
  <c r="J39" i="4" s="1"/>
  <c r="I36" i="4"/>
  <c r="J36" i="4" s="1"/>
  <c r="I35" i="4"/>
  <c r="J35" i="4" s="1"/>
  <c r="I27" i="4"/>
  <c r="J27" i="4" s="1"/>
  <c r="I26" i="4"/>
  <c r="J26" i="4" s="1"/>
  <c r="I19" i="4"/>
  <c r="J19" i="4" s="1"/>
  <c r="I24" i="4"/>
  <c r="J24" i="4" s="1"/>
  <c r="I22" i="4"/>
  <c r="J22" i="4" s="1"/>
  <c r="I25" i="4"/>
  <c r="J25" i="4" s="1"/>
  <c r="I23" i="4"/>
  <c r="J23" i="4" s="1"/>
  <c r="I20" i="4"/>
  <c r="J20" i="4" s="1"/>
  <c r="I21" i="4"/>
  <c r="J21" i="4" s="1"/>
  <c r="I12" i="4"/>
  <c r="J12" i="4" s="1"/>
  <c r="I10" i="4"/>
  <c r="J10" i="4" s="1"/>
  <c r="I4" i="4"/>
  <c r="J4" i="4" s="1"/>
  <c r="I38" i="7"/>
  <c r="J38" i="7" s="1"/>
  <c r="I37" i="7"/>
  <c r="J37" i="7" s="1"/>
  <c r="I25" i="7"/>
  <c r="J25" i="7" s="1"/>
  <c r="I39" i="7"/>
  <c r="J39" i="7" s="1"/>
  <c r="I28" i="7"/>
  <c r="J28" i="7" s="1"/>
  <c r="I31" i="7"/>
  <c r="J31" i="7" s="1"/>
  <c r="I30" i="7"/>
  <c r="J30" i="7" s="1"/>
  <c r="I26" i="7"/>
  <c r="J26" i="7" s="1"/>
  <c r="I32" i="7"/>
  <c r="J32" i="7" s="1"/>
  <c r="I36" i="7"/>
  <c r="J36" i="7" s="1"/>
  <c r="I33" i="7"/>
  <c r="J33" i="7" s="1"/>
  <c r="I16" i="7"/>
  <c r="J16" i="7" s="1"/>
  <c r="I15" i="7"/>
  <c r="J15" i="7" s="1"/>
  <c r="I18" i="7"/>
  <c r="J18" i="7" s="1"/>
  <c r="I6" i="7"/>
  <c r="J6" i="7" s="1"/>
  <c r="I12" i="7"/>
  <c r="J12" i="7" s="1"/>
  <c r="I8" i="7"/>
  <c r="J8" i="7" s="1"/>
  <c r="I10" i="7"/>
  <c r="J10" i="7" s="1"/>
  <c r="I9" i="7"/>
  <c r="J9" i="7" s="1"/>
  <c r="I17" i="7"/>
  <c r="J17" i="7" s="1"/>
  <c r="I27" i="7"/>
  <c r="J27" i="7" s="1"/>
  <c r="I34" i="7"/>
  <c r="J34" i="7" s="1"/>
  <c r="I35" i="7"/>
  <c r="J35" i="7" s="1"/>
  <c r="I29" i="7"/>
  <c r="J29" i="7" s="1"/>
  <c r="I7" i="7"/>
  <c r="J7" i="7" s="1"/>
  <c r="I14" i="7"/>
  <c r="J14" i="7" s="1"/>
  <c r="I13" i="7"/>
  <c r="J13" i="7" s="1"/>
  <c r="I4" i="7"/>
  <c r="J4" i="7" s="1"/>
  <c r="I11" i="7"/>
  <c r="J11" i="7" s="1"/>
  <c r="I5" i="4" l="1"/>
  <c r="J5" i="4" s="1"/>
  <c r="I9" i="4"/>
  <c r="J9" i="4" s="1"/>
  <c r="I6" i="4"/>
  <c r="J6" i="4" s="1"/>
  <c r="I7" i="4"/>
  <c r="J7" i="4" s="1"/>
  <c r="I8" i="4"/>
  <c r="J8" i="4" s="1"/>
  <c r="I11" i="4"/>
  <c r="J11" i="4" s="1"/>
</calcChain>
</file>

<file path=xl/sharedStrings.xml><?xml version="1.0" encoding="utf-8"?>
<sst xmlns="http://schemas.openxmlformats.org/spreadsheetml/2006/main" count="841" uniqueCount="195">
  <si>
    <t>HKG311</t>
  </si>
  <si>
    <t>Sean Liu</t>
  </si>
  <si>
    <t xml:space="preserve">Crew </t>
  </si>
  <si>
    <t>Patrick Feng</t>
  </si>
  <si>
    <t>Charlotte Lo</t>
  </si>
  <si>
    <t>Bincker Uiterwaal</t>
  </si>
  <si>
    <t>Shaan Mutreja</t>
  </si>
  <si>
    <t>Will Stork</t>
  </si>
  <si>
    <t>HKG224</t>
  </si>
  <si>
    <t>Elodie Yip</t>
  </si>
  <si>
    <t>Casey Law</t>
  </si>
  <si>
    <t>HKG226</t>
  </si>
  <si>
    <t>Oriane Voets</t>
  </si>
  <si>
    <t>HKG225</t>
  </si>
  <si>
    <t>Bertille Voets</t>
  </si>
  <si>
    <t>HKG 929</t>
  </si>
  <si>
    <t>Class</t>
  </si>
  <si>
    <t xml:space="preserve">Sail Number </t>
  </si>
  <si>
    <t>Skipper</t>
  </si>
  <si>
    <t>HKG 602</t>
  </si>
  <si>
    <t>Rosie Davies</t>
  </si>
  <si>
    <t>HKG 231</t>
  </si>
  <si>
    <t>Julian Hill</t>
  </si>
  <si>
    <t>RS Feva</t>
  </si>
  <si>
    <t>Maddalena Di Salvo</t>
  </si>
  <si>
    <t>HKG229</t>
  </si>
  <si>
    <t>Nigel Ho</t>
  </si>
  <si>
    <t>Alban Raffard</t>
  </si>
  <si>
    <t>Jack Woolterton</t>
  </si>
  <si>
    <t>Samantha Sharp</t>
  </si>
  <si>
    <t>Hannah Crawford</t>
  </si>
  <si>
    <t>Riccardo Tocco</t>
  </si>
  <si>
    <t>HKG 509</t>
  </si>
  <si>
    <t>Juliette Clot</t>
  </si>
  <si>
    <t>Amaury Guillosson</t>
  </si>
  <si>
    <t>HKG 227</t>
  </si>
  <si>
    <t>Douglas Leung</t>
  </si>
  <si>
    <t>Sorcha Whyte</t>
  </si>
  <si>
    <t>PY</t>
  </si>
  <si>
    <t xml:space="preserve">Start Time </t>
  </si>
  <si>
    <t xml:space="preserve">Finish Time </t>
  </si>
  <si>
    <t xml:space="preserve">Elapsed Time </t>
  </si>
  <si>
    <t>Corrected Time</t>
  </si>
  <si>
    <t>Place</t>
  </si>
  <si>
    <t>Race 1</t>
  </si>
  <si>
    <t>Race 2</t>
  </si>
  <si>
    <t>Race 3</t>
  </si>
  <si>
    <t xml:space="preserve">Total </t>
  </si>
  <si>
    <t>Aberdeen Boat Club Dinghy Southside Regatta 2016</t>
  </si>
  <si>
    <t>Race 1 (Optimist)</t>
  </si>
  <si>
    <t>Points</t>
  </si>
  <si>
    <t>Optimists</t>
  </si>
  <si>
    <t>Race 2 (Optimist)</t>
  </si>
  <si>
    <t>Overall Result (Optimist)</t>
  </si>
  <si>
    <t>DNC</t>
  </si>
  <si>
    <t>finish on water</t>
  </si>
  <si>
    <t xml:space="preserve">Penalty </t>
  </si>
  <si>
    <t>OCS / DNS / RET</t>
  </si>
  <si>
    <t>Aberdeen Boat Club Dinghy Opening Regatta 9 &amp; 10 September 2017</t>
  </si>
  <si>
    <t>Race 1 (Division B)</t>
  </si>
  <si>
    <t>Race 2 (Division B)</t>
  </si>
  <si>
    <t>Overall Result (Division B)</t>
  </si>
  <si>
    <t>Laser 4.7</t>
  </si>
  <si>
    <t>HKG 179804</t>
  </si>
  <si>
    <t>HKG 179854</t>
  </si>
  <si>
    <t>Hkg 179799</t>
  </si>
  <si>
    <t>HKG135868</t>
  </si>
  <si>
    <t>HKG 187089</t>
  </si>
  <si>
    <t>HKG 135358</t>
  </si>
  <si>
    <t>HKG200851</t>
  </si>
  <si>
    <t>HKG 3017</t>
  </si>
  <si>
    <t>Past Chu Kwai Chung</t>
  </si>
  <si>
    <t>Timothee Bourrut Lacouture</t>
  </si>
  <si>
    <t>Pei Yip</t>
  </si>
  <si>
    <t>Gabriela Pascual</t>
  </si>
  <si>
    <t>Wong Wang Chin</t>
  </si>
  <si>
    <t>Sarah Elizabeth Page</t>
  </si>
  <si>
    <t>Bryant CHAN</t>
  </si>
  <si>
    <t>James Truhol</t>
  </si>
  <si>
    <t>Thorwen Uiterwaal</t>
  </si>
  <si>
    <t>Enzo Cremers</t>
  </si>
  <si>
    <t>Charlie Robinson</t>
  </si>
  <si>
    <t>Matteo Przyszczykowski</t>
  </si>
  <si>
    <t>Ulysse ha thuc</t>
  </si>
  <si>
    <t>Johan van den Berg</t>
  </si>
  <si>
    <t>Samuel Johnson</t>
  </si>
  <si>
    <t xml:space="preserve">Aaron Dampier </t>
  </si>
  <si>
    <t>Marcus Shek</t>
  </si>
  <si>
    <t>Jula Lin</t>
  </si>
  <si>
    <t>Race 1 (Division A)</t>
  </si>
  <si>
    <t>HKG 54945</t>
  </si>
  <si>
    <t>Ho Chun Ho</t>
  </si>
  <si>
    <t>Lee Ka Ho</t>
  </si>
  <si>
    <t>HKG 54935</t>
  </si>
  <si>
    <t>Tang Hoi Ching</t>
  </si>
  <si>
    <t>Yau Suet Nga</t>
  </si>
  <si>
    <t>HKG 5485</t>
  </si>
  <si>
    <t>CHENG CHEUK YIN</t>
  </si>
  <si>
    <t>SETO MING KIT</t>
  </si>
  <si>
    <t>HKG 52226</t>
  </si>
  <si>
    <t>TSANG SZE CHING</t>
  </si>
  <si>
    <t>LAM HEI MAN</t>
  </si>
  <si>
    <t>HKG 50868</t>
  </si>
  <si>
    <t>LI YI KIU</t>
  </si>
  <si>
    <t>LAM JAIME YIN MAN</t>
  </si>
  <si>
    <t>HKG 5494</t>
  </si>
  <si>
    <t xml:space="preserve">LAM Chak Sum </t>
  </si>
  <si>
    <t xml:space="preserve">TAM Tsz Chun </t>
  </si>
  <si>
    <t>HKG 54858</t>
  </si>
  <si>
    <t>CHOW Pak Kan</t>
  </si>
  <si>
    <t>KEUNG Tsz Lok</t>
  </si>
  <si>
    <t>Race 2 (Division A)</t>
  </si>
  <si>
    <t>Race 3 (Division A)</t>
  </si>
  <si>
    <t>Overall Result (Division A)</t>
  </si>
  <si>
    <t>Optimist</t>
  </si>
  <si>
    <t>HKG 500</t>
  </si>
  <si>
    <t>Sam Badenach</t>
  </si>
  <si>
    <t>HKG528</t>
  </si>
  <si>
    <t>Cameron Law</t>
  </si>
  <si>
    <t>HKG 1171</t>
  </si>
  <si>
    <t>Emily Polson</t>
  </si>
  <si>
    <t>HKG 519</t>
  </si>
  <si>
    <t>HKG 510</t>
  </si>
  <si>
    <t>MARTIN PENELOPE</t>
  </si>
  <si>
    <t>HKG 1172</t>
  </si>
  <si>
    <t>Carter Stewart</t>
  </si>
  <si>
    <t>HKG 503</t>
  </si>
  <si>
    <t>HKG 501</t>
  </si>
  <si>
    <t>Arno Zurcher</t>
  </si>
  <si>
    <t>HKG 1169</t>
  </si>
  <si>
    <t>Vaitiare York</t>
  </si>
  <si>
    <t>HKG 1173</t>
  </si>
  <si>
    <t>Chloe Becker</t>
  </si>
  <si>
    <t>HKG 838</t>
  </si>
  <si>
    <t>HKG 319</t>
  </si>
  <si>
    <t>Hkg 303</t>
  </si>
  <si>
    <t xml:space="preserve">Brain fung </t>
  </si>
  <si>
    <t>HKG317</t>
  </si>
  <si>
    <t>Steven Chen</t>
  </si>
  <si>
    <t>HKG 313</t>
  </si>
  <si>
    <t>Lumiere NG</t>
  </si>
  <si>
    <t>HKG 318</t>
  </si>
  <si>
    <t>Shana Hester-Okayama</t>
  </si>
  <si>
    <t>HK320</t>
  </si>
  <si>
    <t>Norman Nielsen</t>
  </si>
  <si>
    <t>HKG 141</t>
  </si>
  <si>
    <t>YEUNG Tsun Hong Tommy</t>
  </si>
  <si>
    <t>HKG 144</t>
  </si>
  <si>
    <t>LEUNG Kwan Yin</t>
  </si>
  <si>
    <t>HKG 142</t>
  </si>
  <si>
    <t>Hung Zing Ron</t>
  </si>
  <si>
    <t>HKG206</t>
  </si>
  <si>
    <t>HKG 208</t>
  </si>
  <si>
    <t>HKG 222</t>
  </si>
  <si>
    <t>May Proctor</t>
  </si>
  <si>
    <t>THIBAULT MINNE</t>
  </si>
  <si>
    <t>HKG 215</t>
  </si>
  <si>
    <t>HKG 600</t>
  </si>
  <si>
    <t>Li Anhao</t>
  </si>
  <si>
    <t>HKG 228</t>
  </si>
  <si>
    <t>HKG 221</t>
  </si>
  <si>
    <t>HKG 214</t>
  </si>
  <si>
    <t>HKG88</t>
  </si>
  <si>
    <t>Gabriel Ma</t>
  </si>
  <si>
    <t>HKG 234</t>
  </si>
  <si>
    <t>HKG 233</t>
  </si>
  <si>
    <t>Eloise Yip</t>
  </si>
  <si>
    <t>HKG 235</t>
  </si>
  <si>
    <t>Vanessa Dubreuil</t>
  </si>
  <si>
    <t>HKG 619</t>
  </si>
  <si>
    <t>David Crawford</t>
  </si>
  <si>
    <t>HKG230</t>
  </si>
  <si>
    <t>Defline Eloi</t>
  </si>
  <si>
    <t>HKG210</t>
  </si>
  <si>
    <t>Ines Chiu</t>
  </si>
  <si>
    <t>HKG 212</t>
  </si>
  <si>
    <t xml:space="preserve">Nicolle Scholer </t>
  </si>
  <si>
    <t>WAN Chuen Fu</t>
  </si>
  <si>
    <t>Dubreuil Annabelle</t>
  </si>
  <si>
    <t>HKG 211</t>
  </si>
  <si>
    <t xml:space="preserve">Jasmine Scholer </t>
  </si>
  <si>
    <t>Laser 2000</t>
  </si>
  <si>
    <t>HKG 22597</t>
  </si>
  <si>
    <t>John Berry</t>
  </si>
  <si>
    <t>HKG 22553</t>
  </si>
  <si>
    <t>Alex Orange</t>
  </si>
  <si>
    <t>HKG 22552</t>
  </si>
  <si>
    <t>Tristan Stewart</t>
  </si>
  <si>
    <t>Sam Cheng (Sat)</t>
  </si>
  <si>
    <t>Adelaide Orange</t>
  </si>
  <si>
    <t>Mimiko Stewart</t>
  </si>
  <si>
    <t>HKG 3023</t>
  </si>
  <si>
    <t>HKG 60</t>
  </si>
  <si>
    <t>RET</t>
  </si>
  <si>
    <t>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</si>
</sst>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Fill="1" applyBorder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10" xfId="0" applyFill="1" applyBorder="1"/>
    <xf numFmtId="0" fontId="19" fillId="0" borderId="10" xfId="0" applyFont="1" applyFill="1" applyBorder="1" applyAlignment="1">
      <alignment horizontal="left"/>
    </xf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21" fontId="0" fillId="0" borderId="10" xfId="0" applyNumberFormat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center"/>
    </xf>
    <xf numFmtId="0" fontId="0" fillId="0" borderId="0" xfId="0" applyBorder="1"/>
    <xf numFmtId="2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10" xfId="0" applyNumberFormat="1" applyBorder="1" applyAlignment="1">
      <alignment horizontal="center"/>
    </xf>
    <xf numFmtId="0" fontId="0" fillId="37" borderId="0" xfId="0" applyFill="1" applyAlignment="1">
      <alignment horizontal="left"/>
    </xf>
    <xf numFmtId="0" fontId="0" fillId="35" borderId="0" xfId="0" applyFill="1" applyAlignment="1">
      <alignment horizontal="center"/>
    </xf>
    <xf numFmtId="0" fontId="0" fillId="36" borderId="0" xfId="0" applyFill="1"/>
    <xf numFmtId="0" fontId="0" fillId="38" borderId="0" xfId="0" applyFill="1"/>
    <xf numFmtId="1" fontId="0" fillId="0" borderId="10" xfId="0" applyNumberFormat="1" applyFill="1" applyBorder="1" applyAlignment="1">
      <alignment horizontal="center"/>
    </xf>
    <xf numFmtId="0" fontId="19" fillId="0" borderId="10" xfId="0" applyFont="1" applyFill="1" applyBorder="1"/>
    <xf numFmtId="0" fontId="0" fillId="0" borderId="12" xfId="0" applyBorder="1"/>
    <xf numFmtId="0" fontId="21" fillId="33" borderId="10" xfId="0" applyFon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1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19" fillId="0" borderId="12" xfId="0" applyFont="1" applyFill="1" applyBorder="1"/>
    <xf numFmtId="0" fontId="0" fillId="0" borderId="12" xfId="0" applyBorder="1" applyAlignment="1">
      <alignment horizontal="left"/>
    </xf>
    <xf numFmtId="0" fontId="18" fillId="34" borderId="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2" fillId="34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view="pageBreakPreview" zoomScale="95" zoomScaleNormal="100" zoomScaleSheetLayoutView="95" workbookViewId="0">
      <selection activeCell="H61" sqref="H61"/>
    </sheetView>
  </sheetViews>
  <sheetFormatPr defaultRowHeight="14.4" x14ac:dyDescent="0.3"/>
  <cols>
    <col min="1" max="1" width="5.33203125" customWidth="1"/>
    <col min="2" max="2" width="14.33203125" style="2" customWidth="1"/>
    <col min="3" max="3" width="12.33203125" style="2" customWidth="1"/>
    <col min="4" max="4" width="27.109375" customWidth="1"/>
    <col min="5" max="5" width="19.33203125" customWidth="1"/>
    <col min="6" max="6" width="19.109375" style="1" customWidth="1"/>
    <col min="7" max="11" width="15.6640625" style="1" customWidth="1"/>
  </cols>
  <sheetData>
    <row r="1" spans="1:11" ht="43.95" customHeight="1" x14ac:dyDescent="0.3">
      <c r="A1" s="42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7" customHeight="1" x14ac:dyDescent="0.3">
      <c r="A2" s="42" t="s">
        <v>89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x14ac:dyDescent="0.3">
      <c r="A3" s="12"/>
      <c r="B3" s="13" t="s">
        <v>16</v>
      </c>
      <c r="C3" s="13" t="s">
        <v>17</v>
      </c>
      <c r="D3" s="12" t="s">
        <v>18</v>
      </c>
      <c r="E3" s="12" t="s">
        <v>2</v>
      </c>
      <c r="F3" s="32" t="s">
        <v>38</v>
      </c>
      <c r="G3" s="14" t="s">
        <v>39</v>
      </c>
      <c r="H3" s="14" t="s">
        <v>40</v>
      </c>
      <c r="I3" s="14" t="s">
        <v>41</v>
      </c>
      <c r="J3" s="14" t="s">
        <v>42</v>
      </c>
      <c r="K3" s="14" t="s">
        <v>43</v>
      </c>
    </row>
    <row r="4" spans="1:11" x14ac:dyDescent="0.3">
      <c r="A4" s="3"/>
      <c r="B4" s="6">
        <v>420</v>
      </c>
      <c r="C4" s="11" t="s">
        <v>108</v>
      </c>
      <c r="D4" s="5" t="s">
        <v>109</v>
      </c>
      <c r="E4" s="5" t="s">
        <v>110</v>
      </c>
      <c r="F4" s="4">
        <v>1110</v>
      </c>
      <c r="G4" s="15">
        <v>0.53194444444444444</v>
      </c>
      <c r="H4" s="15">
        <v>0.55593749999999997</v>
      </c>
      <c r="I4" s="15">
        <f t="shared" ref="I4:I12" si="0">H4-G4</f>
        <v>2.3993055555555531E-2</v>
      </c>
      <c r="J4" s="15">
        <f t="shared" ref="J4:J12" si="1">I4*1000/F4</f>
        <v>2.1615365365365343E-2</v>
      </c>
      <c r="K4" s="4">
        <v>1</v>
      </c>
    </row>
    <row r="5" spans="1:11" x14ac:dyDescent="0.3">
      <c r="A5" s="3">
        <v>2</v>
      </c>
      <c r="B5" s="6">
        <v>420</v>
      </c>
      <c r="C5" s="9" t="s">
        <v>93</v>
      </c>
      <c r="D5" s="9" t="s">
        <v>94</v>
      </c>
      <c r="E5" s="9" t="s">
        <v>95</v>
      </c>
      <c r="F5" s="4">
        <v>1110</v>
      </c>
      <c r="G5" s="15">
        <v>0.53194444444444444</v>
      </c>
      <c r="H5" s="15">
        <v>0.55612268518518515</v>
      </c>
      <c r="I5" s="15">
        <f t="shared" si="0"/>
        <v>2.4178240740740709E-2</v>
      </c>
      <c r="J5" s="15">
        <f t="shared" si="1"/>
        <v>2.1782198865532169E-2</v>
      </c>
      <c r="K5" s="4">
        <v>2</v>
      </c>
    </row>
    <row r="6" spans="1:11" x14ac:dyDescent="0.3">
      <c r="A6" s="3">
        <v>3</v>
      </c>
      <c r="B6" s="6">
        <v>420</v>
      </c>
      <c r="C6" s="11" t="s">
        <v>90</v>
      </c>
      <c r="D6" s="9" t="s">
        <v>91</v>
      </c>
      <c r="E6" s="9" t="s">
        <v>92</v>
      </c>
      <c r="F6" s="4">
        <v>1110</v>
      </c>
      <c r="G6" s="15">
        <v>0.53194444444444444</v>
      </c>
      <c r="H6" s="15">
        <v>0.55686342592592586</v>
      </c>
      <c r="I6" s="15">
        <f t="shared" si="0"/>
        <v>2.4918981481481417E-2</v>
      </c>
      <c r="J6" s="15">
        <f t="shared" si="1"/>
        <v>2.2449532866199474E-2</v>
      </c>
      <c r="K6" s="4">
        <v>3</v>
      </c>
    </row>
    <row r="7" spans="1:11" x14ac:dyDescent="0.3">
      <c r="A7" s="3">
        <v>4</v>
      </c>
      <c r="B7" s="6">
        <v>420</v>
      </c>
      <c r="C7" s="9" t="s">
        <v>99</v>
      </c>
      <c r="D7" s="9" t="s">
        <v>100</v>
      </c>
      <c r="E7" s="9" t="s">
        <v>101</v>
      </c>
      <c r="F7" s="4">
        <v>1110</v>
      </c>
      <c r="G7" s="15">
        <v>0.53194444444444444</v>
      </c>
      <c r="H7" s="15">
        <v>0.55791666666666673</v>
      </c>
      <c r="I7" s="15">
        <f t="shared" si="0"/>
        <v>2.5972222222222285E-2</v>
      </c>
      <c r="J7" s="15">
        <f t="shared" si="1"/>
        <v>2.3398398398398454E-2</v>
      </c>
      <c r="K7" s="4">
        <v>4</v>
      </c>
    </row>
    <row r="8" spans="1:11" x14ac:dyDescent="0.3">
      <c r="A8" s="3">
        <v>5</v>
      </c>
      <c r="B8" s="6">
        <v>420</v>
      </c>
      <c r="C8" s="9" t="s">
        <v>102</v>
      </c>
      <c r="D8" s="9" t="s">
        <v>103</v>
      </c>
      <c r="E8" s="9" t="s">
        <v>104</v>
      </c>
      <c r="F8" s="4">
        <v>1110</v>
      </c>
      <c r="G8" s="15">
        <v>0.53194444444444444</v>
      </c>
      <c r="H8" s="15">
        <v>0.55803240740740734</v>
      </c>
      <c r="I8" s="15">
        <f t="shared" si="0"/>
        <v>2.6087962962962896E-2</v>
      </c>
      <c r="J8" s="15">
        <f t="shared" si="1"/>
        <v>2.3502669336002611E-2</v>
      </c>
      <c r="K8" s="4">
        <v>5</v>
      </c>
    </row>
    <row r="9" spans="1:11" x14ac:dyDescent="0.3">
      <c r="A9" s="3">
        <v>6</v>
      </c>
      <c r="B9" s="6">
        <v>420</v>
      </c>
      <c r="C9" s="9" t="s">
        <v>96</v>
      </c>
      <c r="D9" s="9" t="s">
        <v>97</v>
      </c>
      <c r="E9" s="9" t="s">
        <v>98</v>
      </c>
      <c r="F9" s="4">
        <v>1110</v>
      </c>
      <c r="G9" s="15">
        <v>0.53194444444444444</v>
      </c>
      <c r="H9" s="15">
        <v>0.55841435185185184</v>
      </c>
      <c r="I9" s="15">
        <f t="shared" si="0"/>
        <v>2.64699074074074E-2</v>
      </c>
      <c r="J9" s="15">
        <f t="shared" si="1"/>
        <v>2.3846763430096757E-2</v>
      </c>
      <c r="K9" s="4">
        <v>6</v>
      </c>
    </row>
    <row r="10" spans="1:11" x14ac:dyDescent="0.3">
      <c r="A10" s="3">
        <v>7</v>
      </c>
      <c r="B10" s="6" t="s">
        <v>181</v>
      </c>
      <c r="C10" s="11" t="s">
        <v>182</v>
      </c>
      <c r="D10" s="3" t="s">
        <v>183</v>
      </c>
      <c r="E10" s="3" t="s">
        <v>188</v>
      </c>
      <c r="F10" s="6">
        <v>1107</v>
      </c>
      <c r="G10" s="15">
        <v>0.53194444444444444</v>
      </c>
      <c r="H10" s="15">
        <v>0.55950231481481483</v>
      </c>
      <c r="I10" s="15">
        <f t="shared" si="0"/>
        <v>2.7557870370370385E-2</v>
      </c>
      <c r="J10" s="15">
        <f t="shared" si="1"/>
        <v>2.4894191843153012E-2</v>
      </c>
      <c r="K10" s="4">
        <v>7</v>
      </c>
    </row>
    <row r="11" spans="1:11" x14ac:dyDescent="0.3">
      <c r="A11" s="3">
        <v>8</v>
      </c>
      <c r="B11" s="6">
        <v>420</v>
      </c>
      <c r="C11" s="11" t="s">
        <v>105</v>
      </c>
      <c r="D11" s="9" t="s">
        <v>106</v>
      </c>
      <c r="E11" s="9" t="s">
        <v>107</v>
      </c>
      <c r="F11" s="4">
        <v>1110</v>
      </c>
      <c r="G11" s="15">
        <v>0.53194444444444444</v>
      </c>
      <c r="H11" s="15">
        <v>0.56001157407407409</v>
      </c>
      <c r="I11" s="15">
        <f t="shared" si="0"/>
        <v>2.806712962962965E-2</v>
      </c>
      <c r="J11" s="15">
        <f t="shared" si="1"/>
        <v>2.5285702369035722E-2</v>
      </c>
      <c r="K11" s="4">
        <v>8</v>
      </c>
    </row>
    <row r="12" spans="1:11" x14ac:dyDescent="0.3">
      <c r="A12" s="3">
        <v>9</v>
      </c>
      <c r="B12" s="6" t="s">
        <v>181</v>
      </c>
      <c r="C12" s="11" t="s">
        <v>186</v>
      </c>
      <c r="D12" s="3" t="s">
        <v>187</v>
      </c>
      <c r="E12" s="3" t="s">
        <v>190</v>
      </c>
      <c r="F12" s="6">
        <v>1107</v>
      </c>
      <c r="G12" s="15">
        <v>0.53194444444444444</v>
      </c>
      <c r="H12" s="15">
        <v>0.56236111111111109</v>
      </c>
      <c r="I12" s="15">
        <f t="shared" si="0"/>
        <v>3.0416666666666647E-2</v>
      </c>
      <c r="J12" s="15">
        <f t="shared" si="1"/>
        <v>2.7476663655525427E-2</v>
      </c>
      <c r="K12" s="4">
        <v>9</v>
      </c>
    </row>
    <row r="13" spans="1:11" x14ac:dyDescent="0.3">
      <c r="A13" s="3">
        <v>10</v>
      </c>
      <c r="B13" s="6" t="s">
        <v>181</v>
      </c>
      <c r="C13" s="11" t="s">
        <v>184</v>
      </c>
      <c r="D13" s="3" t="s">
        <v>185</v>
      </c>
      <c r="E13" s="3" t="s">
        <v>189</v>
      </c>
      <c r="F13" s="6">
        <v>1107</v>
      </c>
      <c r="G13" s="15">
        <v>0.53194444444444444</v>
      </c>
      <c r="H13" s="15" t="s">
        <v>54</v>
      </c>
      <c r="I13" s="15" t="s">
        <v>54</v>
      </c>
      <c r="J13" s="15" t="s">
        <v>54</v>
      </c>
      <c r="K13" s="33">
        <v>11</v>
      </c>
    </row>
    <row r="15" spans="1:11" x14ac:dyDescent="0.3">
      <c r="A15" s="19"/>
      <c r="B15" s="21"/>
      <c r="C15" s="22"/>
      <c r="D15" s="23"/>
      <c r="E15" s="19"/>
      <c r="F15" s="21"/>
      <c r="G15" s="20"/>
      <c r="H15" s="21"/>
      <c r="I15" s="20"/>
      <c r="J15" s="20"/>
      <c r="K15" s="21"/>
    </row>
    <row r="16" spans="1:11" ht="43.95" customHeight="1" x14ac:dyDescent="0.3">
      <c r="A16" s="42" t="s">
        <v>58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7" spans="1:11" ht="27" customHeight="1" x14ac:dyDescent="0.3">
      <c r="A17" s="42" t="s">
        <v>111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spans="1:11" x14ac:dyDescent="0.3">
      <c r="A18" s="12"/>
      <c r="B18" s="13" t="s">
        <v>16</v>
      </c>
      <c r="C18" s="13" t="s">
        <v>17</v>
      </c>
      <c r="D18" s="12" t="s">
        <v>18</v>
      </c>
      <c r="E18" s="12" t="s">
        <v>2</v>
      </c>
      <c r="F18" s="32" t="s">
        <v>38</v>
      </c>
      <c r="G18" s="14" t="s">
        <v>39</v>
      </c>
      <c r="H18" s="14" t="s">
        <v>40</v>
      </c>
      <c r="I18" s="14" t="s">
        <v>41</v>
      </c>
      <c r="J18" s="14" t="s">
        <v>42</v>
      </c>
      <c r="K18" s="14" t="s">
        <v>43</v>
      </c>
    </row>
    <row r="19" spans="1:11" x14ac:dyDescent="0.3">
      <c r="A19" s="3">
        <v>1</v>
      </c>
      <c r="B19" s="6">
        <v>420</v>
      </c>
      <c r="C19" s="11" t="s">
        <v>108</v>
      </c>
      <c r="D19" s="5" t="s">
        <v>109</v>
      </c>
      <c r="E19" s="5" t="s">
        <v>110</v>
      </c>
      <c r="F19" s="4">
        <v>1110</v>
      </c>
      <c r="G19" s="15">
        <v>0.57638888888888895</v>
      </c>
      <c r="H19" s="15">
        <v>0.59788194444444442</v>
      </c>
      <c r="I19" s="15">
        <f t="shared" ref="I19:I27" si="2">H19-G19</f>
        <v>2.1493055555555474E-2</v>
      </c>
      <c r="J19" s="15">
        <f t="shared" ref="J19:J27" si="3">I19*1000/F19</f>
        <v>1.9363113113113038E-2</v>
      </c>
      <c r="K19" s="4">
        <v>1</v>
      </c>
    </row>
    <row r="20" spans="1:11" x14ac:dyDescent="0.3">
      <c r="A20" s="3">
        <v>2</v>
      </c>
      <c r="B20" s="6">
        <v>420</v>
      </c>
      <c r="C20" s="9" t="s">
        <v>93</v>
      </c>
      <c r="D20" s="9" t="s">
        <v>94</v>
      </c>
      <c r="E20" s="9" t="s">
        <v>95</v>
      </c>
      <c r="F20" s="4">
        <v>1110</v>
      </c>
      <c r="G20" s="15">
        <v>0.57638888888888895</v>
      </c>
      <c r="H20" s="15">
        <v>0.5980671296296296</v>
      </c>
      <c r="I20" s="15">
        <f t="shared" si="2"/>
        <v>2.1678240740740651E-2</v>
      </c>
      <c r="J20" s="15">
        <f t="shared" si="3"/>
        <v>1.9529946613279867E-2</v>
      </c>
      <c r="K20" s="4">
        <v>2</v>
      </c>
    </row>
    <row r="21" spans="1:11" x14ac:dyDescent="0.3">
      <c r="A21" s="3">
        <v>3</v>
      </c>
      <c r="B21" s="6">
        <v>420</v>
      </c>
      <c r="C21" s="11" t="s">
        <v>90</v>
      </c>
      <c r="D21" s="9" t="s">
        <v>91</v>
      </c>
      <c r="E21" s="9" t="s">
        <v>92</v>
      </c>
      <c r="F21" s="4">
        <v>1110</v>
      </c>
      <c r="G21" s="15">
        <v>0.57638888888888895</v>
      </c>
      <c r="H21" s="15">
        <v>0.5982291666666667</v>
      </c>
      <c r="I21" s="15">
        <f t="shared" si="2"/>
        <v>2.184027777777775E-2</v>
      </c>
      <c r="J21" s="15">
        <f t="shared" si="3"/>
        <v>1.9675925925925902E-2</v>
      </c>
      <c r="K21" s="4">
        <v>3</v>
      </c>
    </row>
    <row r="22" spans="1:11" x14ac:dyDescent="0.3">
      <c r="A22" s="3">
        <v>4</v>
      </c>
      <c r="B22" s="6">
        <v>420</v>
      </c>
      <c r="C22" s="9" t="s">
        <v>102</v>
      </c>
      <c r="D22" s="9" t="s">
        <v>103</v>
      </c>
      <c r="E22" s="9" t="s">
        <v>104</v>
      </c>
      <c r="F22" s="4">
        <v>1110</v>
      </c>
      <c r="G22" s="15">
        <v>0.57638888888888895</v>
      </c>
      <c r="H22" s="15">
        <v>0.59879629629629627</v>
      </c>
      <c r="I22" s="15">
        <f t="shared" si="2"/>
        <v>2.240740740740732E-2</v>
      </c>
      <c r="J22" s="15">
        <f t="shared" si="3"/>
        <v>2.0186853520186773E-2</v>
      </c>
      <c r="K22" s="4">
        <v>4</v>
      </c>
    </row>
    <row r="23" spans="1:11" x14ac:dyDescent="0.3">
      <c r="A23" s="3">
        <v>5</v>
      </c>
      <c r="B23" s="6">
        <v>420</v>
      </c>
      <c r="C23" s="9" t="s">
        <v>96</v>
      </c>
      <c r="D23" s="9" t="s">
        <v>97</v>
      </c>
      <c r="E23" s="9" t="s">
        <v>98</v>
      </c>
      <c r="F23" s="4">
        <v>1110</v>
      </c>
      <c r="G23" s="15">
        <v>0.57638888888888895</v>
      </c>
      <c r="H23" s="15">
        <v>0.59887731481481488</v>
      </c>
      <c r="I23" s="15">
        <f t="shared" si="2"/>
        <v>2.2488425925925926E-2</v>
      </c>
      <c r="J23" s="15">
        <f t="shared" si="3"/>
        <v>2.0259843176509841E-2</v>
      </c>
      <c r="K23" s="4">
        <v>5</v>
      </c>
    </row>
    <row r="24" spans="1:11" x14ac:dyDescent="0.3">
      <c r="A24" s="3">
        <v>6</v>
      </c>
      <c r="B24" s="6">
        <v>420</v>
      </c>
      <c r="C24" s="11" t="s">
        <v>105</v>
      </c>
      <c r="D24" s="9" t="s">
        <v>106</v>
      </c>
      <c r="E24" s="9" t="s">
        <v>107</v>
      </c>
      <c r="F24" s="4">
        <v>1110</v>
      </c>
      <c r="G24" s="15">
        <v>0.57638888888888895</v>
      </c>
      <c r="H24" s="15">
        <v>0.59896990740740741</v>
      </c>
      <c r="I24" s="15">
        <f t="shared" si="2"/>
        <v>2.2581018518518459E-2</v>
      </c>
      <c r="J24" s="15">
        <f t="shared" si="3"/>
        <v>2.0343259926593207E-2</v>
      </c>
      <c r="K24" s="4">
        <v>6</v>
      </c>
    </row>
    <row r="25" spans="1:11" x14ac:dyDescent="0.3">
      <c r="A25" s="3">
        <v>7</v>
      </c>
      <c r="B25" s="6">
        <v>420</v>
      </c>
      <c r="C25" s="9" t="s">
        <v>99</v>
      </c>
      <c r="D25" s="9" t="s">
        <v>100</v>
      </c>
      <c r="E25" s="9" t="s">
        <v>101</v>
      </c>
      <c r="F25" s="4">
        <v>1110</v>
      </c>
      <c r="G25" s="15">
        <v>0.57638888888888895</v>
      </c>
      <c r="H25" s="15">
        <v>0.59909722222222228</v>
      </c>
      <c r="I25" s="15">
        <f t="shared" si="2"/>
        <v>2.270833333333333E-2</v>
      </c>
      <c r="J25" s="15">
        <f t="shared" si="3"/>
        <v>2.0457957957957955E-2</v>
      </c>
      <c r="K25" s="4">
        <v>7</v>
      </c>
    </row>
    <row r="26" spans="1:11" x14ac:dyDescent="0.3">
      <c r="A26" s="3">
        <v>8</v>
      </c>
      <c r="B26" s="6" t="s">
        <v>181</v>
      </c>
      <c r="C26" s="11" t="s">
        <v>182</v>
      </c>
      <c r="D26" s="3" t="s">
        <v>183</v>
      </c>
      <c r="E26" s="3" t="s">
        <v>188</v>
      </c>
      <c r="F26" s="6">
        <v>1107</v>
      </c>
      <c r="G26" s="15">
        <v>0.57638888888888895</v>
      </c>
      <c r="H26" s="15">
        <v>0.60144675925925928</v>
      </c>
      <c r="I26" s="15">
        <f t="shared" si="2"/>
        <v>2.5057870370370328E-2</v>
      </c>
      <c r="J26" s="15">
        <f t="shared" si="3"/>
        <v>2.2635835926260457E-2</v>
      </c>
      <c r="K26" s="4">
        <v>8</v>
      </c>
    </row>
    <row r="27" spans="1:11" x14ac:dyDescent="0.3">
      <c r="A27" s="3">
        <v>9</v>
      </c>
      <c r="B27" s="6" t="s">
        <v>181</v>
      </c>
      <c r="C27" s="11" t="s">
        <v>186</v>
      </c>
      <c r="D27" s="3" t="s">
        <v>187</v>
      </c>
      <c r="E27" s="3" t="s">
        <v>190</v>
      </c>
      <c r="F27" s="6">
        <v>1107</v>
      </c>
      <c r="G27" s="15">
        <v>0.57638888888888895</v>
      </c>
      <c r="H27" s="15">
        <v>0.60167824074074072</v>
      </c>
      <c r="I27" s="15">
        <f t="shared" si="2"/>
        <v>2.5289351851851771E-2</v>
      </c>
      <c r="J27" s="15">
        <f t="shared" si="3"/>
        <v>2.284494295560232E-2</v>
      </c>
      <c r="K27" s="4">
        <v>9</v>
      </c>
    </row>
    <row r="28" spans="1:11" x14ac:dyDescent="0.3">
      <c r="A28" s="3">
        <v>10</v>
      </c>
      <c r="B28" s="6" t="s">
        <v>181</v>
      </c>
      <c r="C28" s="11" t="s">
        <v>184</v>
      </c>
      <c r="D28" s="3" t="s">
        <v>185</v>
      </c>
      <c r="E28" s="3" t="s">
        <v>189</v>
      </c>
      <c r="F28" s="6">
        <v>1107</v>
      </c>
      <c r="G28" s="15">
        <v>0.57638888888888895</v>
      </c>
      <c r="H28" s="15" t="s">
        <v>54</v>
      </c>
      <c r="I28" s="15" t="s">
        <v>54</v>
      </c>
      <c r="J28" s="15" t="s">
        <v>54</v>
      </c>
      <c r="K28" s="33">
        <v>11</v>
      </c>
    </row>
    <row r="29" spans="1:11" x14ac:dyDescent="0.3">
      <c r="A29" s="19"/>
      <c r="B29" s="21"/>
      <c r="C29" s="22"/>
      <c r="D29" s="23"/>
      <c r="E29" s="19"/>
      <c r="F29" s="21"/>
      <c r="G29" s="20"/>
      <c r="H29" s="21"/>
      <c r="I29" s="20"/>
      <c r="J29" s="20"/>
      <c r="K29" s="21"/>
    </row>
    <row r="30" spans="1:11" x14ac:dyDescent="0.3">
      <c r="A30" s="19"/>
      <c r="B30" s="21"/>
      <c r="C30" s="22"/>
      <c r="D30" s="23"/>
      <c r="E30" s="19"/>
      <c r="F30" s="21"/>
      <c r="G30" s="20"/>
      <c r="H30" s="21"/>
      <c r="I30" s="20"/>
      <c r="J30" s="20"/>
      <c r="K30" s="21"/>
    </row>
    <row r="31" spans="1:11" ht="43.95" customHeight="1" x14ac:dyDescent="0.3">
      <c r="A31" s="42" t="s">
        <v>58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spans="1:11" ht="27" customHeight="1" x14ac:dyDescent="0.3">
      <c r="A32" s="42" t="s">
        <v>112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</row>
    <row r="33" spans="1:11" x14ac:dyDescent="0.3">
      <c r="A33" s="12"/>
      <c r="B33" s="13" t="s">
        <v>16</v>
      </c>
      <c r="C33" s="13" t="s">
        <v>17</v>
      </c>
      <c r="D33" s="12" t="s">
        <v>18</v>
      </c>
      <c r="E33" s="12" t="s">
        <v>2</v>
      </c>
      <c r="F33" s="32" t="s">
        <v>38</v>
      </c>
      <c r="G33" s="14" t="s">
        <v>39</v>
      </c>
      <c r="H33" s="14" t="s">
        <v>40</v>
      </c>
      <c r="I33" s="14" t="s">
        <v>41</v>
      </c>
      <c r="J33" s="14" t="s">
        <v>42</v>
      </c>
      <c r="K33" s="14" t="s">
        <v>43</v>
      </c>
    </row>
    <row r="34" spans="1:11" x14ac:dyDescent="0.3">
      <c r="A34" s="3">
        <v>1</v>
      </c>
      <c r="B34" s="6">
        <v>420</v>
      </c>
      <c r="C34" s="11" t="s">
        <v>108</v>
      </c>
      <c r="D34" s="5" t="s">
        <v>109</v>
      </c>
      <c r="E34" s="5" t="s">
        <v>110</v>
      </c>
      <c r="F34" s="4">
        <v>1110</v>
      </c>
      <c r="G34" s="15">
        <v>0.60763888888888895</v>
      </c>
      <c r="H34" s="15">
        <v>0.63430555555555557</v>
      </c>
      <c r="I34" s="15">
        <f t="shared" ref="I34:I42" si="4">H34-G34</f>
        <v>2.6666666666666616E-2</v>
      </c>
      <c r="J34" s="15">
        <f t="shared" ref="J34:J42" si="5">I34*1000/F34</f>
        <v>2.4024024024023979E-2</v>
      </c>
      <c r="K34" s="4">
        <v>1</v>
      </c>
    </row>
    <row r="35" spans="1:11" x14ac:dyDescent="0.3">
      <c r="A35" s="3">
        <v>2</v>
      </c>
      <c r="B35" s="6">
        <v>420</v>
      </c>
      <c r="C35" s="11" t="s">
        <v>90</v>
      </c>
      <c r="D35" s="9" t="s">
        <v>91</v>
      </c>
      <c r="E35" s="9" t="s">
        <v>92</v>
      </c>
      <c r="F35" s="4">
        <v>1110</v>
      </c>
      <c r="G35" s="15">
        <v>0.60763888888888895</v>
      </c>
      <c r="H35" s="15">
        <v>0.6350231481481482</v>
      </c>
      <c r="I35" s="15">
        <f t="shared" si="4"/>
        <v>2.7384259259259247E-2</v>
      </c>
      <c r="J35" s="15">
        <f t="shared" si="5"/>
        <v>2.4670503837170493E-2</v>
      </c>
      <c r="K35" s="4">
        <v>2</v>
      </c>
    </row>
    <row r="36" spans="1:11" x14ac:dyDescent="0.3">
      <c r="A36" s="3">
        <v>3</v>
      </c>
      <c r="B36" s="6">
        <v>420</v>
      </c>
      <c r="C36" s="9" t="s">
        <v>93</v>
      </c>
      <c r="D36" s="9" t="s">
        <v>94</v>
      </c>
      <c r="E36" s="9" t="s">
        <v>95</v>
      </c>
      <c r="F36" s="4">
        <v>1110</v>
      </c>
      <c r="G36" s="15">
        <v>0.60763888888888895</v>
      </c>
      <c r="H36" s="15">
        <v>0.63520833333333326</v>
      </c>
      <c r="I36" s="15">
        <f t="shared" si="4"/>
        <v>2.7569444444444313E-2</v>
      </c>
      <c r="J36" s="15">
        <f t="shared" si="5"/>
        <v>2.4837337337337222E-2</v>
      </c>
      <c r="K36" s="4">
        <v>3</v>
      </c>
    </row>
    <row r="37" spans="1:11" x14ac:dyDescent="0.3">
      <c r="A37" s="3">
        <v>4</v>
      </c>
      <c r="B37" s="6">
        <v>420</v>
      </c>
      <c r="C37" s="11" t="s">
        <v>105</v>
      </c>
      <c r="D37" s="9" t="s">
        <v>106</v>
      </c>
      <c r="E37" s="9" t="s">
        <v>107</v>
      </c>
      <c r="F37" s="4">
        <v>1110</v>
      </c>
      <c r="G37" s="15">
        <v>0.60763888888888895</v>
      </c>
      <c r="H37" s="15">
        <v>0.63672453703703702</v>
      </c>
      <c r="I37" s="15">
        <f t="shared" si="4"/>
        <v>2.9085648148148069E-2</v>
      </c>
      <c r="J37" s="15">
        <f t="shared" si="5"/>
        <v>2.6203286619953213E-2</v>
      </c>
      <c r="K37" s="4">
        <v>4</v>
      </c>
    </row>
    <row r="38" spans="1:11" x14ac:dyDescent="0.3">
      <c r="A38" s="3">
        <v>5</v>
      </c>
      <c r="B38" s="6">
        <v>420</v>
      </c>
      <c r="C38" s="9" t="s">
        <v>102</v>
      </c>
      <c r="D38" s="9" t="s">
        <v>103</v>
      </c>
      <c r="E38" s="9" t="s">
        <v>104</v>
      </c>
      <c r="F38" s="4">
        <v>1110</v>
      </c>
      <c r="G38" s="15">
        <v>0.60763888888888895</v>
      </c>
      <c r="H38" s="15">
        <v>0.63706018518518526</v>
      </c>
      <c r="I38" s="15">
        <f t="shared" si="4"/>
        <v>2.9421296296296306E-2</v>
      </c>
      <c r="J38" s="15">
        <f t="shared" si="5"/>
        <v>2.6505672339005679E-2</v>
      </c>
      <c r="K38" s="4">
        <v>5</v>
      </c>
    </row>
    <row r="39" spans="1:11" x14ac:dyDescent="0.3">
      <c r="A39" s="3">
        <v>6</v>
      </c>
      <c r="B39" s="6">
        <v>420</v>
      </c>
      <c r="C39" s="9" t="s">
        <v>96</v>
      </c>
      <c r="D39" s="9" t="s">
        <v>97</v>
      </c>
      <c r="E39" s="9" t="s">
        <v>98</v>
      </c>
      <c r="F39" s="4">
        <v>1110</v>
      </c>
      <c r="G39" s="15">
        <v>0.60763888888888895</v>
      </c>
      <c r="H39" s="15">
        <v>0.63804398148148145</v>
      </c>
      <c r="I39" s="15">
        <f t="shared" si="4"/>
        <v>3.0405092592592498E-2</v>
      </c>
      <c r="J39" s="15">
        <f t="shared" si="5"/>
        <v>2.7391975308641889E-2</v>
      </c>
      <c r="K39" s="4">
        <v>6</v>
      </c>
    </row>
    <row r="40" spans="1:11" x14ac:dyDescent="0.3">
      <c r="A40" s="3">
        <v>7</v>
      </c>
      <c r="B40" s="6">
        <v>420</v>
      </c>
      <c r="C40" s="9" t="s">
        <v>99</v>
      </c>
      <c r="D40" s="9" t="s">
        <v>100</v>
      </c>
      <c r="E40" s="9" t="s">
        <v>101</v>
      </c>
      <c r="F40" s="4">
        <v>1110</v>
      </c>
      <c r="G40" s="15">
        <v>0.60763888888888895</v>
      </c>
      <c r="H40" s="15">
        <v>0.63829861111111108</v>
      </c>
      <c r="I40" s="15">
        <f t="shared" si="4"/>
        <v>3.065972222222213E-2</v>
      </c>
      <c r="J40" s="15">
        <f t="shared" si="5"/>
        <v>2.7621371371371287E-2</v>
      </c>
      <c r="K40" s="4">
        <v>7</v>
      </c>
    </row>
    <row r="41" spans="1:11" x14ac:dyDescent="0.3">
      <c r="A41" s="3">
        <v>8</v>
      </c>
      <c r="B41" s="6" t="s">
        <v>181</v>
      </c>
      <c r="C41" s="11" t="s">
        <v>186</v>
      </c>
      <c r="D41" s="3" t="s">
        <v>187</v>
      </c>
      <c r="E41" s="3" t="s">
        <v>190</v>
      </c>
      <c r="F41" s="6">
        <v>1107</v>
      </c>
      <c r="G41" s="15">
        <v>0.60763888888888895</v>
      </c>
      <c r="H41" s="15">
        <v>0.63923611111111112</v>
      </c>
      <c r="I41" s="15">
        <f t="shared" si="4"/>
        <v>3.1597222222222165E-2</v>
      </c>
      <c r="J41" s="15">
        <f t="shared" si="5"/>
        <v>2.8543109505169074E-2</v>
      </c>
      <c r="K41" s="4">
        <v>8</v>
      </c>
    </row>
    <row r="42" spans="1:11" x14ac:dyDescent="0.3">
      <c r="A42" s="3">
        <v>9</v>
      </c>
      <c r="B42" s="6" t="s">
        <v>181</v>
      </c>
      <c r="C42" s="11" t="s">
        <v>182</v>
      </c>
      <c r="D42" s="3" t="s">
        <v>183</v>
      </c>
      <c r="E42" s="3" t="s">
        <v>188</v>
      </c>
      <c r="F42" s="6">
        <v>1107</v>
      </c>
      <c r="G42" s="15">
        <v>0.60763888888888895</v>
      </c>
      <c r="H42" s="15">
        <v>0.64120370370370372</v>
      </c>
      <c r="I42" s="15">
        <f t="shared" si="4"/>
        <v>3.356481481481477E-2</v>
      </c>
      <c r="J42" s="15">
        <f t="shared" si="5"/>
        <v>3.0320519254575219E-2</v>
      </c>
      <c r="K42" s="4">
        <v>9</v>
      </c>
    </row>
    <row r="43" spans="1:11" x14ac:dyDescent="0.3">
      <c r="A43" s="3">
        <v>10</v>
      </c>
      <c r="B43" s="6" t="s">
        <v>181</v>
      </c>
      <c r="C43" s="11" t="s">
        <v>184</v>
      </c>
      <c r="D43" s="3" t="s">
        <v>185</v>
      </c>
      <c r="E43" s="3" t="s">
        <v>189</v>
      </c>
      <c r="F43" s="6">
        <v>1107</v>
      </c>
      <c r="G43" s="15">
        <v>0.60763888888888895</v>
      </c>
      <c r="H43" s="4" t="s">
        <v>54</v>
      </c>
      <c r="I43" s="4" t="s">
        <v>54</v>
      </c>
      <c r="J43" s="4" t="s">
        <v>54</v>
      </c>
      <c r="K43" s="33">
        <v>11</v>
      </c>
    </row>
    <row r="44" spans="1:11" x14ac:dyDescent="0.3">
      <c r="A44" s="19"/>
      <c r="B44" s="21"/>
      <c r="C44" s="22"/>
      <c r="D44" s="23"/>
      <c r="E44" s="19"/>
      <c r="F44" s="21"/>
      <c r="G44" s="20"/>
      <c r="H44" s="21"/>
      <c r="I44" s="20"/>
      <c r="J44" s="20"/>
      <c r="K44" s="21"/>
    </row>
    <row r="46" spans="1:11" ht="32.4" x14ac:dyDescent="0.3">
      <c r="A46" s="40" t="s">
        <v>58</v>
      </c>
      <c r="B46" s="40"/>
      <c r="C46" s="40"/>
      <c r="D46" s="40"/>
      <c r="E46" s="40"/>
      <c r="F46" s="40"/>
      <c r="G46" s="40"/>
      <c r="H46" s="40"/>
      <c r="I46" s="40"/>
      <c r="J46" s="40"/>
      <c r="K46" s="35"/>
    </row>
    <row r="47" spans="1:11" ht="32.4" x14ac:dyDescent="0.3">
      <c r="A47" s="41" t="s">
        <v>113</v>
      </c>
      <c r="B47" s="41"/>
      <c r="C47" s="41"/>
      <c r="D47" s="41"/>
      <c r="E47" s="41"/>
      <c r="F47" s="41"/>
      <c r="G47" s="41"/>
      <c r="H47" s="41"/>
      <c r="I47" s="41"/>
      <c r="J47" s="41"/>
      <c r="K47" s="35"/>
    </row>
    <row r="48" spans="1:11" x14ac:dyDescent="0.3">
      <c r="A48" s="16"/>
      <c r="B48" s="17" t="s">
        <v>16</v>
      </c>
      <c r="C48" s="17" t="s">
        <v>17</v>
      </c>
      <c r="D48" s="16" t="s">
        <v>18</v>
      </c>
      <c r="E48" s="16" t="s">
        <v>2</v>
      </c>
      <c r="F48" s="18" t="s">
        <v>38</v>
      </c>
      <c r="G48" s="18" t="s">
        <v>44</v>
      </c>
      <c r="H48" s="18" t="s">
        <v>45</v>
      </c>
      <c r="I48" s="18" t="s">
        <v>46</v>
      </c>
      <c r="J48" s="18" t="s">
        <v>47</v>
      </c>
      <c r="K48" s="36"/>
    </row>
    <row r="49" spans="1:11" x14ac:dyDescent="0.3">
      <c r="A49" s="3">
        <v>1</v>
      </c>
      <c r="B49" s="6">
        <v>420</v>
      </c>
      <c r="C49" s="11" t="s">
        <v>108</v>
      </c>
      <c r="D49" s="5" t="s">
        <v>109</v>
      </c>
      <c r="E49" s="5" t="s">
        <v>110</v>
      </c>
      <c r="F49" s="4">
        <v>1110</v>
      </c>
      <c r="G49" s="4">
        <v>1</v>
      </c>
      <c r="H49" s="4">
        <v>1</v>
      </c>
      <c r="I49" s="4">
        <v>1</v>
      </c>
      <c r="J49" s="4">
        <f t="shared" ref="J49:J58" si="6">SUM(G49:I49)</f>
        <v>3</v>
      </c>
      <c r="K49" s="36"/>
    </row>
    <row r="50" spans="1:11" x14ac:dyDescent="0.3">
      <c r="A50" s="3">
        <v>2</v>
      </c>
      <c r="B50" s="6">
        <v>420</v>
      </c>
      <c r="C50" s="9" t="s">
        <v>93</v>
      </c>
      <c r="D50" s="9" t="s">
        <v>94</v>
      </c>
      <c r="E50" s="9" t="s">
        <v>95</v>
      </c>
      <c r="F50" s="4">
        <v>1110</v>
      </c>
      <c r="G50" s="4">
        <v>2</v>
      </c>
      <c r="H50" s="4">
        <v>2</v>
      </c>
      <c r="I50" s="4">
        <v>3</v>
      </c>
      <c r="J50" s="4">
        <f t="shared" si="6"/>
        <v>7</v>
      </c>
      <c r="K50" s="36"/>
    </row>
    <row r="51" spans="1:11" x14ac:dyDescent="0.3">
      <c r="A51" s="3">
        <v>3</v>
      </c>
      <c r="B51" s="6">
        <v>420</v>
      </c>
      <c r="C51" s="11" t="s">
        <v>90</v>
      </c>
      <c r="D51" s="9" t="s">
        <v>91</v>
      </c>
      <c r="E51" s="9" t="s">
        <v>92</v>
      </c>
      <c r="F51" s="4">
        <v>1110</v>
      </c>
      <c r="G51" s="4">
        <v>3</v>
      </c>
      <c r="H51" s="4">
        <v>3</v>
      </c>
      <c r="I51" s="4">
        <v>2</v>
      </c>
      <c r="J51" s="4">
        <f t="shared" si="6"/>
        <v>8</v>
      </c>
      <c r="K51" s="36"/>
    </row>
    <row r="52" spans="1:11" x14ac:dyDescent="0.3">
      <c r="A52" s="3">
        <v>4</v>
      </c>
      <c r="B52" s="6">
        <v>420</v>
      </c>
      <c r="C52" s="9" t="s">
        <v>102</v>
      </c>
      <c r="D52" s="9" t="s">
        <v>103</v>
      </c>
      <c r="E52" s="9" t="s">
        <v>104</v>
      </c>
      <c r="F52" s="4">
        <v>1110</v>
      </c>
      <c r="G52" s="4">
        <v>5</v>
      </c>
      <c r="H52" s="4">
        <v>4</v>
      </c>
      <c r="I52" s="4">
        <v>5</v>
      </c>
      <c r="J52" s="4">
        <f t="shared" si="6"/>
        <v>14</v>
      </c>
      <c r="K52" s="36"/>
    </row>
    <row r="53" spans="1:11" x14ac:dyDescent="0.3">
      <c r="A53" s="3">
        <v>5</v>
      </c>
      <c r="B53" s="6">
        <v>420</v>
      </c>
      <c r="C53" s="9" t="s">
        <v>96</v>
      </c>
      <c r="D53" s="9" t="s">
        <v>97</v>
      </c>
      <c r="E53" s="9" t="s">
        <v>98</v>
      </c>
      <c r="F53" s="4">
        <v>1110</v>
      </c>
      <c r="G53" s="4">
        <v>6</v>
      </c>
      <c r="H53" s="4">
        <v>5</v>
      </c>
      <c r="I53" s="4">
        <v>6</v>
      </c>
      <c r="J53" s="4">
        <f t="shared" si="6"/>
        <v>17</v>
      </c>
      <c r="K53" s="36"/>
    </row>
    <row r="54" spans="1:11" x14ac:dyDescent="0.3">
      <c r="A54" s="3">
        <v>6</v>
      </c>
      <c r="B54" s="6">
        <v>420</v>
      </c>
      <c r="C54" s="9" t="s">
        <v>99</v>
      </c>
      <c r="D54" s="9" t="s">
        <v>100</v>
      </c>
      <c r="E54" s="9" t="s">
        <v>101</v>
      </c>
      <c r="F54" s="4">
        <v>1110</v>
      </c>
      <c r="G54" s="4">
        <v>4</v>
      </c>
      <c r="H54" s="4">
        <v>7</v>
      </c>
      <c r="I54" s="4">
        <v>7</v>
      </c>
      <c r="J54" s="4">
        <f t="shared" si="6"/>
        <v>18</v>
      </c>
      <c r="K54" s="36"/>
    </row>
    <row r="55" spans="1:11" x14ac:dyDescent="0.3">
      <c r="A55" s="3">
        <v>7</v>
      </c>
      <c r="B55" s="6">
        <v>420</v>
      </c>
      <c r="C55" s="11" t="s">
        <v>105</v>
      </c>
      <c r="D55" s="9" t="s">
        <v>106</v>
      </c>
      <c r="E55" s="9" t="s">
        <v>107</v>
      </c>
      <c r="F55" s="4">
        <v>1110</v>
      </c>
      <c r="G55" s="4">
        <v>8</v>
      </c>
      <c r="H55" s="4">
        <v>6</v>
      </c>
      <c r="I55" s="4">
        <v>4</v>
      </c>
      <c r="J55" s="4">
        <f t="shared" si="6"/>
        <v>18</v>
      </c>
      <c r="K55" s="36"/>
    </row>
    <row r="56" spans="1:11" x14ac:dyDescent="0.3">
      <c r="A56" s="3">
        <v>8</v>
      </c>
      <c r="B56" s="6" t="s">
        <v>181</v>
      </c>
      <c r="C56" s="11" t="s">
        <v>182</v>
      </c>
      <c r="D56" s="3" t="s">
        <v>183</v>
      </c>
      <c r="E56" s="3" t="s">
        <v>188</v>
      </c>
      <c r="F56" s="6">
        <v>1107</v>
      </c>
      <c r="G56" s="4">
        <v>7</v>
      </c>
      <c r="H56" s="4">
        <v>8</v>
      </c>
      <c r="I56" s="4">
        <v>9</v>
      </c>
      <c r="J56" s="4">
        <f t="shared" si="6"/>
        <v>24</v>
      </c>
      <c r="K56" s="36"/>
    </row>
    <row r="57" spans="1:11" x14ac:dyDescent="0.3">
      <c r="A57" s="3">
        <v>9</v>
      </c>
      <c r="B57" s="6" t="s">
        <v>181</v>
      </c>
      <c r="C57" s="11" t="s">
        <v>186</v>
      </c>
      <c r="D57" s="3" t="s">
        <v>187</v>
      </c>
      <c r="E57" s="3" t="s">
        <v>190</v>
      </c>
      <c r="F57" s="6">
        <v>1107</v>
      </c>
      <c r="G57" s="4">
        <v>9</v>
      </c>
      <c r="H57" s="4">
        <v>9</v>
      </c>
      <c r="I57" s="4">
        <v>8</v>
      </c>
      <c r="J57" s="4">
        <f t="shared" si="6"/>
        <v>26</v>
      </c>
      <c r="K57" s="36"/>
    </row>
    <row r="58" spans="1:11" x14ac:dyDescent="0.3">
      <c r="A58" s="3">
        <v>10</v>
      </c>
      <c r="B58" s="6" t="s">
        <v>181</v>
      </c>
      <c r="C58" s="11" t="s">
        <v>184</v>
      </c>
      <c r="D58" s="3" t="s">
        <v>185</v>
      </c>
      <c r="E58" s="3" t="s">
        <v>189</v>
      </c>
      <c r="F58" s="6">
        <v>1107</v>
      </c>
      <c r="G58" s="33">
        <v>11</v>
      </c>
      <c r="H58" s="33">
        <v>11</v>
      </c>
      <c r="I58" s="33">
        <v>11</v>
      </c>
      <c r="J58" s="33">
        <f t="shared" si="6"/>
        <v>33</v>
      </c>
      <c r="K58" s="36"/>
    </row>
    <row r="60" spans="1:11" x14ac:dyDescent="0.3">
      <c r="D60" s="25" t="s">
        <v>55</v>
      </c>
      <c r="E60" s="28" t="s">
        <v>56</v>
      </c>
      <c r="F60" s="26" t="s">
        <v>54</v>
      </c>
      <c r="G60" s="27" t="s">
        <v>57</v>
      </c>
    </row>
  </sheetData>
  <autoFilter ref="B48:K48">
    <sortState ref="B70:K75">
      <sortCondition ref="K69"/>
    </sortState>
  </autoFilter>
  <sortState ref="B57:J66">
    <sortCondition ref="J57:J66"/>
  </sortState>
  <mergeCells count="8">
    <mergeCell ref="A46:J46"/>
    <mergeCell ref="A47:J47"/>
    <mergeCell ref="A1:K1"/>
    <mergeCell ref="A2:K2"/>
    <mergeCell ref="A16:K16"/>
    <mergeCell ref="A17:K17"/>
    <mergeCell ref="A31:K31"/>
    <mergeCell ref="A32:K32"/>
  </mergeCells>
  <printOptions horizontalCentered="1"/>
  <pageMargins left="0" right="0" top="0.75" bottom="0.75" header="0.3" footer="0.3"/>
  <pageSetup scale="76" fitToHeight="4" orientation="landscape" r:id="rId1"/>
  <rowBreaks count="1" manualBreakCount="1">
    <brk id="2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view="pageBreakPreview" topLeftCell="A28" zoomScale="95" zoomScaleNormal="100" zoomScaleSheetLayoutView="95" workbookViewId="0">
      <selection activeCell="K51" sqref="K51"/>
    </sheetView>
  </sheetViews>
  <sheetFormatPr defaultRowHeight="14.4" x14ac:dyDescent="0.3"/>
  <cols>
    <col min="1" max="1" width="5.33203125" customWidth="1"/>
    <col min="2" max="2" width="14.33203125" style="2" customWidth="1"/>
    <col min="3" max="3" width="12.33203125" style="2" customWidth="1"/>
    <col min="4" max="4" width="24.6640625" customWidth="1"/>
    <col min="5" max="5" width="24.44140625" customWidth="1"/>
    <col min="6" max="6" width="25.33203125" style="1" customWidth="1"/>
    <col min="7" max="11" width="15.6640625" style="1" customWidth="1"/>
  </cols>
  <sheetData>
    <row r="1" spans="1:11" ht="43.95" customHeight="1" x14ac:dyDescent="0.3">
      <c r="A1" s="42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7" customHeight="1" x14ac:dyDescent="0.3">
      <c r="A2" s="42" t="s">
        <v>59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x14ac:dyDescent="0.3">
      <c r="A3" s="12"/>
      <c r="B3" s="13" t="s">
        <v>16</v>
      </c>
      <c r="C3" s="13" t="s">
        <v>17</v>
      </c>
      <c r="D3" s="12" t="s">
        <v>18</v>
      </c>
      <c r="E3" s="12" t="s">
        <v>2</v>
      </c>
      <c r="F3" s="14" t="s">
        <v>38</v>
      </c>
      <c r="G3" s="14" t="s">
        <v>39</v>
      </c>
      <c r="H3" s="14" t="s">
        <v>40</v>
      </c>
      <c r="I3" s="14" t="s">
        <v>41</v>
      </c>
      <c r="J3" s="14" t="s">
        <v>42</v>
      </c>
      <c r="K3" s="14" t="s">
        <v>43</v>
      </c>
    </row>
    <row r="4" spans="1:11" x14ac:dyDescent="0.3">
      <c r="A4" s="3">
        <v>1</v>
      </c>
      <c r="B4" s="6" t="s">
        <v>62</v>
      </c>
      <c r="C4" s="5" t="s">
        <v>65</v>
      </c>
      <c r="D4" s="3" t="s">
        <v>73</v>
      </c>
      <c r="E4" s="10"/>
      <c r="F4" s="4">
        <v>1200</v>
      </c>
      <c r="G4" s="15">
        <v>0.53611111111111109</v>
      </c>
      <c r="H4" s="15">
        <v>0.56458333333333333</v>
      </c>
      <c r="I4" s="15">
        <f t="shared" ref="I4:I18" si="0">H4-G4</f>
        <v>2.8472222222222232E-2</v>
      </c>
      <c r="J4" s="15">
        <f t="shared" ref="J4:J18" si="1">I4*1000/F4</f>
        <v>2.372685185185186E-2</v>
      </c>
      <c r="K4" s="4">
        <v>1</v>
      </c>
    </row>
    <row r="5" spans="1:11" x14ac:dyDescent="0.3">
      <c r="A5" s="3">
        <v>2</v>
      </c>
      <c r="B5" s="6" t="s">
        <v>62</v>
      </c>
      <c r="C5" s="5" t="s">
        <v>63</v>
      </c>
      <c r="D5" s="5" t="s">
        <v>71</v>
      </c>
      <c r="E5" s="10"/>
      <c r="F5" s="4">
        <v>1200</v>
      </c>
      <c r="G5" s="15">
        <v>0.53611111111111109</v>
      </c>
      <c r="H5" s="15">
        <v>0.56527777777777777</v>
      </c>
      <c r="I5" s="15">
        <f t="shared" si="0"/>
        <v>2.9166666666666674E-2</v>
      </c>
      <c r="J5" s="15">
        <f t="shared" si="1"/>
        <v>2.4305555555555563E-2</v>
      </c>
      <c r="K5" s="4">
        <v>2</v>
      </c>
    </row>
    <row r="6" spans="1:11" x14ac:dyDescent="0.3">
      <c r="A6" s="3">
        <v>3</v>
      </c>
      <c r="B6" s="4" t="s">
        <v>23</v>
      </c>
      <c r="C6" s="5">
        <v>6241</v>
      </c>
      <c r="D6" s="3" t="s">
        <v>24</v>
      </c>
      <c r="E6" s="3" t="s">
        <v>31</v>
      </c>
      <c r="F6" s="6">
        <v>1240</v>
      </c>
      <c r="G6" s="15">
        <v>0.53611111111111109</v>
      </c>
      <c r="H6" s="15">
        <v>0.56664351851851846</v>
      </c>
      <c r="I6" s="15">
        <f t="shared" si="0"/>
        <v>3.0532407407407369E-2</v>
      </c>
      <c r="J6" s="15">
        <f t="shared" si="1"/>
        <v>2.4622909199522071E-2</v>
      </c>
      <c r="K6" s="4">
        <v>3</v>
      </c>
    </row>
    <row r="7" spans="1:11" x14ac:dyDescent="0.3">
      <c r="A7" s="3">
        <v>4</v>
      </c>
      <c r="B7" s="6" t="s">
        <v>62</v>
      </c>
      <c r="C7" s="5">
        <v>135350</v>
      </c>
      <c r="D7" s="3" t="s">
        <v>76</v>
      </c>
      <c r="E7" s="10"/>
      <c r="F7" s="4">
        <v>1200</v>
      </c>
      <c r="G7" s="15">
        <v>0.53611111111111109</v>
      </c>
      <c r="H7" s="15">
        <v>0.56582175925925926</v>
      </c>
      <c r="I7" s="15">
        <f t="shared" si="0"/>
        <v>2.9710648148148167E-2</v>
      </c>
      <c r="J7" s="15">
        <f t="shared" si="1"/>
        <v>2.4758873456790138E-2</v>
      </c>
      <c r="K7" s="4">
        <v>4</v>
      </c>
    </row>
    <row r="8" spans="1:11" x14ac:dyDescent="0.3">
      <c r="A8" s="3">
        <v>5</v>
      </c>
      <c r="B8" s="6" t="s">
        <v>62</v>
      </c>
      <c r="C8" s="3" t="s">
        <v>69</v>
      </c>
      <c r="D8" s="3" t="s">
        <v>80</v>
      </c>
      <c r="E8" s="3"/>
      <c r="F8" s="4">
        <v>1200</v>
      </c>
      <c r="G8" s="15">
        <v>0.53611111111111109</v>
      </c>
      <c r="H8" s="15">
        <v>0.56597222222222221</v>
      </c>
      <c r="I8" s="15">
        <f t="shared" si="0"/>
        <v>2.9861111111111116E-2</v>
      </c>
      <c r="J8" s="15">
        <f t="shared" si="1"/>
        <v>2.4884259259259262E-2</v>
      </c>
      <c r="K8" s="4">
        <v>5</v>
      </c>
    </row>
    <row r="9" spans="1:11" x14ac:dyDescent="0.3">
      <c r="A9" s="3">
        <v>6</v>
      </c>
      <c r="B9" s="6" t="s">
        <v>62</v>
      </c>
      <c r="C9" s="3" t="s">
        <v>67</v>
      </c>
      <c r="D9" s="3" t="s">
        <v>78</v>
      </c>
      <c r="E9" s="10"/>
      <c r="F9" s="4">
        <v>1200</v>
      </c>
      <c r="G9" s="15">
        <v>0.53611111111111109</v>
      </c>
      <c r="H9" s="15">
        <v>0.5665162037037037</v>
      </c>
      <c r="I9" s="15">
        <f t="shared" si="0"/>
        <v>3.0405092592592609E-2</v>
      </c>
      <c r="J9" s="15">
        <f t="shared" si="1"/>
        <v>2.533757716049384E-2</v>
      </c>
      <c r="K9" s="4">
        <v>6</v>
      </c>
    </row>
    <row r="10" spans="1:11" x14ac:dyDescent="0.3">
      <c r="A10" s="3">
        <v>7</v>
      </c>
      <c r="B10" s="6" t="s">
        <v>62</v>
      </c>
      <c r="C10" s="5" t="s">
        <v>68</v>
      </c>
      <c r="D10" s="5" t="s">
        <v>79</v>
      </c>
      <c r="E10" s="3"/>
      <c r="F10" s="4">
        <v>1200</v>
      </c>
      <c r="G10" s="15">
        <v>0.53611111111111109</v>
      </c>
      <c r="H10" s="15">
        <v>0.56668981481481484</v>
      </c>
      <c r="I10" s="15">
        <f t="shared" si="0"/>
        <v>3.0578703703703747E-2</v>
      </c>
      <c r="J10" s="15">
        <f t="shared" si="1"/>
        <v>2.5482253086419788E-2</v>
      </c>
      <c r="K10" s="4">
        <v>7</v>
      </c>
    </row>
    <row r="11" spans="1:11" x14ac:dyDescent="0.3">
      <c r="A11" s="3">
        <v>8</v>
      </c>
      <c r="B11" s="6" t="s">
        <v>62</v>
      </c>
      <c r="C11" s="5" t="s">
        <v>64</v>
      </c>
      <c r="D11" s="5" t="s">
        <v>72</v>
      </c>
      <c r="E11" s="10"/>
      <c r="F11" s="4">
        <v>1200</v>
      </c>
      <c r="G11" s="15">
        <v>0.53611111111111109</v>
      </c>
      <c r="H11" s="15">
        <v>0.56759259259259254</v>
      </c>
      <c r="I11" s="15">
        <f t="shared" si="0"/>
        <v>3.1481481481481444E-2</v>
      </c>
      <c r="J11" s="15">
        <f t="shared" si="1"/>
        <v>2.6234567901234539E-2</v>
      </c>
      <c r="K11" s="4">
        <v>8</v>
      </c>
    </row>
    <row r="12" spans="1:11" x14ac:dyDescent="0.3">
      <c r="A12" s="3">
        <v>9</v>
      </c>
      <c r="B12" s="4" t="s">
        <v>23</v>
      </c>
      <c r="C12" s="8">
        <v>6239</v>
      </c>
      <c r="D12" s="5" t="s">
        <v>29</v>
      </c>
      <c r="E12" s="5" t="s">
        <v>30</v>
      </c>
      <c r="F12" s="6">
        <v>1240</v>
      </c>
      <c r="G12" s="15">
        <v>0.53611111111111109</v>
      </c>
      <c r="H12" s="15">
        <v>0.56870370370370371</v>
      </c>
      <c r="I12" s="15">
        <f t="shared" si="0"/>
        <v>3.2592592592592617E-2</v>
      </c>
      <c r="J12" s="15">
        <f t="shared" si="1"/>
        <v>2.6284348864994044E-2</v>
      </c>
      <c r="K12" s="4">
        <v>9</v>
      </c>
    </row>
    <row r="13" spans="1:11" x14ac:dyDescent="0.3">
      <c r="A13" s="3">
        <v>10</v>
      </c>
      <c r="B13" s="6" t="s">
        <v>62</v>
      </c>
      <c r="C13" s="5">
        <v>179864</v>
      </c>
      <c r="D13" s="3" t="s">
        <v>74</v>
      </c>
      <c r="E13" s="30"/>
      <c r="F13" s="4">
        <v>1200</v>
      </c>
      <c r="G13" s="15">
        <v>0.53611111111111109</v>
      </c>
      <c r="H13" s="15">
        <v>0.56776620370370368</v>
      </c>
      <c r="I13" s="15">
        <f t="shared" si="0"/>
        <v>3.1655092592592582E-2</v>
      </c>
      <c r="J13" s="15">
        <f t="shared" si="1"/>
        <v>2.6379243827160483E-2</v>
      </c>
      <c r="K13" s="4">
        <v>10</v>
      </c>
    </row>
    <row r="14" spans="1:11" x14ac:dyDescent="0.3">
      <c r="A14" s="3">
        <v>11</v>
      </c>
      <c r="B14" s="4" t="s">
        <v>62</v>
      </c>
      <c r="C14" s="5" t="s">
        <v>66</v>
      </c>
      <c r="D14" s="5" t="s">
        <v>75</v>
      </c>
      <c r="E14" s="3"/>
      <c r="F14" s="4">
        <v>1200</v>
      </c>
      <c r="G14" s="15">
        <v>0.53611111111111109</v>
      </c>
      <c r="H14" s="15">
        <v>0.56785879629629632</v>
      </c>
      <c r="I14" s="15">
        <f t="shared" si="0"/>
        <v>3.1747685185185226E-2</v>
      </c>
      <c r="J14" s="15">
        <f t="shared" si="1"/>
        <v>2.6456404320987687E-2</v>
      </c>
      <c r="K14" s="4">
        <v>11</v>
      </c>
    </row>
    <row r="15" spans="1:11" x14ac:dyDescent="0.3">
      <c r="A15" s="3">
        <v>12</v>
      </c>
      <c r="B15" s="4" t="s">
        <v>23</v>
      </c>
      <c r="C15" s="8" t="s">
        <v>191</v>
      </c>
      <c r="D15" s="31" t="s">
        <v>85</v>
      </c>
      <c r="E15" s="31" t="s">
        <v>86</v>
      </c>
      <c r="F15" s="6">
        <v>1240</v>
      </c>
      <c r="G15" s="15">
        <v>0.53611111111111109</v>
      </c>
      <c r="H15" s="15">
        <v>0.56940972222222219</v>
      </c>
      <c r="I15" s="15">
        <f t="shared" si="0"/>
        <v>3.3298611111111098E-2</v>
      </c>
      <c r="J15" s="15">
        <f t="shared" si="1"/>
        <v>2.6853718637992824E-2</v>
      </c>
      <c r="K15" s="4">
        <v>12</v>
      </c>
    </row>
    <row r="16" spans="1:11" x14ac:dyDescent="0.3">
      <c r="A16" s="3">
        <v>13</v>
      </c>
      <c r="B16" s="4" t="s">
        <v>23</v>
      </c>
      <c r="C16" s="8" t="s">
        <v>70</v>
      </c>
      <c r="D16" s="3" t="s">
        <v>87</v>
      </c>
      <c r="E16" s="3" t="s">
        <v>88</v>
      </c>
      <c r="F16" s="6">
        <v>1240</v>
      </c>
      <c r="G16" s="15">
        <v>0.53611111111111109</v>
      </c>
      <c r="H16" s="15">
        <v>0.57153935185185178</v>
      </c>
      <c r="I16" s="15">
        <f t="shared" si="0"/>
        <v>3.5428240740740691E-2</v>
      </c>
      <c r="J16" s="15">
        <f t="shared" si="1"/>
        <v>2.8571161887694107E-2</v>
      </c>
      <c r="K16" s="4">
        <v>13</v>
      </c>
    </row>
    <row r="17" spans="1:11" x14ac:dyDescent="0.3">
      <c r="A17" s="3">
        <v>14</v>
      </c>
      <c r="B17" s="6" t="s">
        <v>62</v>
      </c>
      <c r="C17" s="5">
        <v>135669</v>
      </c>
      <c r="D17" s="3" t="s">
        <v>77</v>
      </c>
      <c r="E17" s="10"/>
      <c r="F17" s="4">
        <v>1200</v>
      </c>
      <c r="G17" s="15">
        <v>0.53611111111111109</v>
      </c>
      <c r="H17" s="15">
        <v>0.57106481481481486</v>
      </c>
      <c r="I17" s="15">
        <f t="shared" si="0"/>
        <v>3.4953703703703765E-2</v>
      </c>
      <c r="J17" s="15">
        <f t="shared" si="1"/>
        <v>2.9128086419753139E-2</v>
      </c>
      <c r="K17" s="4">
        <v>14</v>
      </c>
    </row>
    <row r="18" spans="1:11" x14ac:dyDescent="0.3">
      <c r="A18" s="3">
        <v>15</v>
      </c>
      <c r="B18" s="4" t="s">
        <v>23</v>
      </c>
      <c r="C18" s="8">
        <v>6238</v>
      </c>
      <c r="D18" s="3" t="s">
        <v>81</v>
      </c>
      <c r="E18" s="7" t="s">
        <v>82</v>
      </c>
      <c r="F18" s="6">
        <v>1240</v>
      </c>
      <c r="G18" s="15">
        <v>0.53611111111111109</v>
      </c>
      <c r="H18" s="15">
        <v>0.57289351851851855</v>
      </c>
      <c r="I18" s="15">
        <f t="shared" si="0"/>
        <v>3.6782407407407458E-2</v>
      </c>
      <c r="J18" s="15">
        <f t="shared" si="1"/>
        <v>2.9663231780167307E-2</v>
      </c>
      <c r="K18" s="4">
        <v>15</v>
      </c>
    </row>
    <row r="19" spans="1:11" x14ac:dyDescent="0.3">
      <c r="A19" s="3">
        <v>16</v>
      </c>
      <c r="B19" s="4" t="s">
        <v>23</v>
      </c>
      <c r="C19" s="8">
        <v>6243</v>
      </c>
      <c r="D19" s="3" t="s">
        <v>83</v>
      </c>
      <c r="E19" s="3" t="s">
        <v>84</v>
      </c>
      <c r="F19" s="6">
        <v>1240</v>
      </c>
      <c r="G19" s="15">
        <v>0.53611111111111109</v>
      </c>
      <c r="H19" s="15" t="s">
        <v>193</v>
      </c>
      <c r="I19" s="15"/>
      <c r="J19" s="15"/>
      <c r="K19" s="34">
        <v>17</v>
      </c>
    </row>
    <row r="21" spans="1:11" ht="32.4" x14ac:dyDescent="0.3">
      <c r="A21" s="42" t="s">
        <v>58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1:11" ht="32.4" x14ac:dyDescent="0.3">
      <c r="A22" s="42" t="s">
        <v>60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</row>
    <row r="23" spans="1:11" x14ac:dyDescent="0.3">
      <c r="A23" s="12"/>
      <c r="B23" s="13" t="s">
        <v>16</v>
      </c>
      <c r="C23" s="13" t="s">
        <v>17</v>
      </c>
      <c r="D23" s="12" t="s">
        <v>18</v>
      </c>
      <c r="E23" s="12" t="s">
        <v>2</v>
      </c>
      <c r="F23" s="14" t="s">
        <v>38</v>
      </c>
      <c r="G23" s="14" t="s">
        <v>39</v>
      </c>
      <c r="H23" s="14" t="s">
        <v>40</v>
      </c>
      <c r="I23" s="14" t="s">
        <v>41</v>
      </c>
      <c r="J23" s="14" t="s">
        <v>42</v>
      </c>
      <c r="K23" s="14" t="s">
        <v>43</v>
      </c>
    </row>
    <row r="24" spans="1:11" x14ac:dyDescent="0.3">
      <c r="A24" s="3">
        <v>1</v>
      </c>
      <c r="B24" s="6" t="s">
        <v>62</v>
      </c>
      <c r="C24" s="5" t="s">
        <v>63</v>
      </c>
      <c r="D24" s="5" t="s">
        <v>71</v>
      </c>
      <c r="E24" s="10"/>
      <c r="F24" s="4">
        <v>1200</v>
      </c>
      <c r="G24" s="15">
        <v>0.58680555555555558</v>
      </c>
      <c r="H24" s="15">
        <v>0.61249999999999993</v>
      </c>
      <c r="I24" s="15">
        <f t="shared" ref="I24:I39" si="2">H24-G24</f>
        <v>2.5694444444444353E-2</v>
      </c>
      <c r="J24" s="15">
        <f t="shared" ref="J24:J39" si="3">I24*1000/F24</f>
        <v>2.1412037037036962E-2</v>
      </c>
      <c r="K24" s="4">
        <v>1</v>
      </c>
    </row>
    <row r="25" spans="1:11" x14ac:dyDescent="0.3">
      <c r="A25" s="3">
        <v>2</v>
      </c>
      <c r="B25" s="4" t="s">
        <v>23</v>
      </c>
      <c r="C25" s="8">
        <v>6243</v>
      </c>
      <c r="D25" s="3" t="s">
        <v>83</v>
      </c>
      <c r="E25" s="3" t="s">
        <v>84</v>
      </c>
      <c r="F25" s="6">
        <v>1240</v>
      </c>
      <c r="G25" s="15">
        <v>0.58680555555555558</v>
      </c>
      <c r="H25" s="15">
        <v>0.61428240740740747</v>
      </c>
      <c r="I25" s="15">
        <f t="shared" si="2"/>
        <v>2.7476851851851891E-2</v>
      </c>
      <c r="J25" s="15">
        <f t="shared" si="3"/>
        <v>2.2158751493428944E-2</v>
      </c>
      <c r="K25" s="4">
        <v>2</v>
      </c>
    </row>
    <row r="26" spans="1:11" x14ac:dyDescent="0.3">
      <c r="A26" s="3">
        <v>3</v>
      </c>
      <c r="B26" s="6" t="s">
        <v>62</v>
      </c>
      <c r="C26" s="5" t="s">
        <v>68</v>
      </c>
      <c r="D26" s="5" t="s">
        <v>79</v>
      </c>
      <c r="E26" s="3"/>
      <c r="F26" s="4">
        <v>1200</v>
      </c>
      <c r="G26" s="15">
        <v>0.58680555555555558</v>
      </c>
      <c r="H26" s="15">
        <v>0.61417824074074068</v>
      </c>
      <c r="I26" s="15">
        <f t="shared" si="2"/>
        <v>2.7372685185185097E-2</v>
      </c>
      <c r="J26" s="15">
        <f t="shared" si="3"/>
        <v>2.2810570987654249E-2</v>
      </c>
      <c r="K26" s="4">
        <v>3</v>
      </c>
    </row>
    <row r="27" spans="1:11" x14ac:dyDescent="0.3">
      <c r="A27" s="3">
        <v>4</v>
      </c>
      <c r="B27" s="6" t="s">
        <v>62</v>
      </c>
      <c r="C27" s="5">
        <v>135350</v>
      </c>
      <c r="D27" s="3" t="s">
        <v>76</v>
      </c>
      <c r="E27" s="10"/>
      <c r="F27" s="4">
        <v>1200</v>
      </c>
      <c r="G27" s="15">
        <v>0.58680555555555558</v>
      </c>
      <c r="H27" s="15">
        <v>0.61427083333333332</v>
      </c>
      <c r="I27" s="15">
        <f t="shared" si="2"/>
        <v>2.7465277777777741E-2</v>
      </c>
      <c r="J27" s="15">
        <f t="shared" si="3"/>
        <v>2.2887731481481453E-2</v>
      </c>
      <c r="K27" s="4">
        <v>4</v>
      </c>
    </row>
    <row r="28" spans="1:11" x14ac:dyDescent="0.3">
      <c r="A28" s="3">
        <v>5</v>
      </c>
      <c r="B28" s="4" t="s">
        <v>23</v>
      </c>
      <c r="C28" s="5">
        <v>6241</v>
      </c>
      <c r="D28" s="3" t="s">
        <v>24</v>
      </c>
      <c r="E28" s="3" t="s">
        <v>31</v>
      </c>
      <c r="F28" s="6">
        <v>1240</v>
      </c>
      <c r="G28" s="15">
        <v>0.58680555555555558</v>
      </c>
      <c r="H28" s="15">
        <v>0.61526620370370366</v>
      </c>
      <c r="I28" s="15">
        <f t="shared" si="2"/>
        <v>2.8460648148148082E-2</v>
      </c>
      <c r="J28" s="15">
        <f t="shared" si="3"/>
        <v>2.2952135603345226E-2</v>
      </c>
      <c r="K28" s="4">
        <v>5</v>
      </c>
    </row>
    <row r="29" spans="1:11" x14ac:dyDescent="0.3">
      <c r="A29" s="3">
        <v>6</v>
      </c>
      <c r="B29" s="6" t="s">
        <v>62</v>
      </c>
      <c r="C29" s="5" t="s">
        <v>65</v>
      </c>
      <c r="D29" s="3" t="s">
        <v>73</v>
      </c>
      <c r="E29" s="10"/>
      <c r="F29" s="4">
        <v>1200</v>
      </c>
      <c r="G29" s="15">
        <v>0.58680555555555558</v>
      </c>
      <c r="H29" s="15">
        <v>0.61438657407407404</v>
      </c>
      <c r="I29" s="15">
        <f t="shared" si="2"/>
        <v>2.7581018518518463E-2</v>
      </c>
      <c r="J29" s="15">
        <f t="shared" si="3"/>
        <v>2.2984182098765384E-2</v>
      </c>
      <c r="K29" s="4">
        <v>6</v>
      </c>
    </row>
    <row r="30" spans="1:11" x14ac:dyDescent="0.3">
      <c r="A30" s="3">
        <v>7</v>
      </c>
      <c r="B30" s="6" t="s">
        <v>62</v>
      </c>
      <c r="C30" s="3" t="s">
        <v>69</v>
      </c>
      <c r="D30" s="3" t="s">
        <v>80</v>
      </c>
      <c r="E30" s="3"/>
      <c r="F30" s="4">
        <v>1200</v>
      </c>
      <c r="G30" s="15">
        <v>0.58680555555555558</v>
      </c>
      <c r="H30" s="15">
        <v>0.61452546296296295</v>
      </c>
      <c r="I30" s="15">
        <f t="shared" si="2"/>
        <v>2.7719907407407374E-2</v>
      </c>
      <c r="J30" s="15">
        <f t="shared" si="3"/>
        <v>2.3099922839506144E-2</v>
      </c>
      <c r="K30" s="4">
        <v>7</v>
      </c>
    </row>
    <row r="31" spans="1:11" x14ac:dyDescent="0.3">
      <c r="A31" s="3">
        <v>8</v>
      </c>
      <c r="B31" s="4" t="s">
        <v>23</v>
      </c>
      <c r="C31" s="8">
        <v>6239</v>
      </c>
      <c r="D31" s="5" t="s">
        <v>29</v>
      </c>
      <c r="E31" s="5" t="s">
        <v>30</v>
      </c>
      <c r="F31" s="6">
        <v>1240</v>
      </c>
      <c r="G31" s="15">
        <v>0.58680555555555558</v>
      </c>
      <c r="H31" s="15">
        <v>0.6164236111111111</v>
      </c>
      <c r="I31" s="15">
        <f t="shared" si="2"/>
        <v>2.9618055555555522E-2</v>
      </c>
      <c r="J31" s="15">
        <f t="shared" si="3"/>
        <v>2.3885528673835098E-2</v>
      </c>
      <c r="K31" s="4">
        <v>8</v>
      </c>
    </row>
    <row r="32" spans="1:11" x14ac:dyDescent="0.3">
      <c r="A32" s="3">
        <v>9</v>
      </c>
      <c r="B32" s="6" t="s">
        <v>62</v>
      </c>
      <c r="C32" s="3" t="s">
        <v>67</v>
      </c>
      <c r="D32" s="3" t="s">
        <v>78</v>
      </c>
      <c r="E32" s="10"/>
      <c r="F32" s="4">
        <v>1200</v>
      </c>
      <c r="G32" s="15">
        <v>0.58680555555555558</v>
      </c>
      <c r="H32" s="15">
        <v>0.61634259259259261</v>
      </c>
      <c r="I32" s="15">
        <f t="shared" si="2"/>
        <v>2.9537037037037028E-2</v>
      </c>
      <c r="J32" s="15">
        <f t="shared" si="3"/>
        <v>2.461419753086419E-2</v>
      </c>
      <c r="K32" s="4">
        <v>9</v>
      </c>
    </row>
    <row r="33" spans="1:11" x14ac:dyDescent="0.3">
      <c r="A33" s="3">
        <v>10</v>
      </c>
      <c r="B33" s="6" t="s">
        <v>62</v>
      </c>
      <c r="C33" s="5" t="s">
        <v>64</v>
      </c>
      <c r="D33" s="5" t="s">
        <v>72</v>
      </c>
      <c r="E33" s="10"/>
      <c r="F33" s="4">
        <v>1200</v>
      </c>
      <c r="G33" s="15">
        <v>0.58680555555555558</v>
      </c>
      <c r="H33" s="15">
        <v>0.61648148148148152</v>
      </c>
      <c r="I33" s="15">
        <f t="shared" si="2"/>
        <v>2.9675925925925939E-2</v>
      </c>
      <c r="J33" s="15">
        <f t="shared" si="3"/>
        <v>2.4729938271604947E-2</v>
      </c>
      <c r="K33" s="4">
        <v>10</v>
      </c>
    </row>
    <row r="34" spans="1:11" x14ac:dyDescent="0.3">
      <c r="A34" s="3">
        <v>11</v>
      </c>
      <c r="B34" s="4" t="s">
        <v>62</v>
      </c>
      <c r="C34" s="5" t="s">
        <v>66</v>
      </c>
      <c r="D34" s="5" t="s">
        <v>75</v>
      </c>
      <c r="E34" s="3"/>
      <c r="F34" s="4">
        <v>1200</v>
      </c>
      <c r="G34" s="15">
        <v>0.58680555555555558</v>
      </c>
      <c r="H34" s="15">
        <v>0.61655092592592597</v>
      </c>
      <c r="I34" s="15">
        <f t="shared" si="2"/>
        <v>2.9745370370370394E-2</v>
      </c>
      <c r="J34" s="15">
        <f t="shared" si="3"/>
        <v>2.4787808641975329E-2</v>
      </c>
      <c r="K34" s="4">
        <v>11</v>
      </c>
    </row>
    <row r="35" spans="1:11" x14ac:dyDescent="0.3">
      <c r="A35" s="3">
        <v>12</v>
      </c>
      <c r="B35" s="6" t="s">
        <v>62</v>
      </c>
      <c r="C35" s="5">
        <v>179864</v>
      </c>
      <c r="D35" s="31" t="s">
        <v>74</v>
      </c>
      <c r="E35" s="38"/>
      <c r="F35" s="4">
        <v>1200</v>
      </c>
      <c r="G35" s="15">
        <v>0.58680555555555558</v>
      </c>
      <c r="H35" s="15">
        <v>0.61660879629629628</v>
      </c>
      <c r="I35" s="15">
        <f t="shared" si="2"/>
        <v>2.98032407407407E-2</v>
      </c>
      <c r="J35" s="15">
        <f t="shared" si="3"/>
        <v>2.4836033950617249E-2</v>
      </c>
      <c r="K35" s="4">
        <v>12</v>
      </c>
    </row>
    <row r="36" spans="1:11" x14ac:dyDescent="0.3">
      <c r="A36" s="3">
        <v>13</v>
      </c>
      <c r="B36" s="6" t="s">
        <v>62</v>
      </c>
      <c r="C36" s="5">
        <v>135669</v>
      </c>
      <c r="D36" s="3" t="s">
        <v>77</v>
      </c>
      <c r="E36" s="10"/>
      <c r="F36" s="4">
        <v>1200</v>
      </c>
      <c r="G36" s="15">
        <v>0.58680555555555558</v>
      </c>
      <c r="H36" s="15">
        <v>0.61670138888888892</v>
      </c>
      <c r="I36" s="15">
        <f t="shared" si="2"/>
        <v>2.9895833333333344E-2</v>
      </c>
      <c r="J36" s="15">
        <f t="shared" si="3"/>
        <v>2.4913194444444453E-2</v>
      </c>
      <c r="K36" s="4">
        <v>13</v>
      </c>
    </row>
    <row r="37" spans="1:11" x14ac:dyDescent="0.3">
      <c r="A37" s="3">
        <v>14</v>
      </c>
      <c r="B37" s="4" t="s">
        <v>23</v>
      </c>
      <c r="C37" s="8" t="s">
        <v>191</v>
      </c>
      <c r="D37" s="3" t="s">
        <v>85</v>
      </c>
      <c r="E37" s="3" t="s">
        <v>86</v>
      </c>
      <c r="F37" s="6">
        <v>1240</v>
      </c>
      <c r="G37" s="15">
        <v>0.58680555555555558</v>
      </c>
      <c r="H37" s="15">
        <v>0.61828703703703702</v>
      </c>
      <c r="I37" s="15">
        <f t="shared" si="2"/>
        <v>3.1481481481481444E-2</v>
      </c>
      <c r="J37" s="15">
        <f t="shared" si="3"/>
        <v>2.5388291517323747E-2</v>
      </c>
      <c r="K37" s="4">
        <v>14</v>
      </c>
    </row>
    <row r="38" spans="1:11" x14ac:dyDescent="0.3">
      <c r="A38" s="3">
        <v>15</v>
      </c>
      <c r="B38" s="4" t="s">
        <v>23</v>
      </c>
      <c r="C38" s="8" t="s">
        <v>70</v>
      </c>
      <c r="D38" s="3" t="s">
        <v>87</v>
      </c>
      <c r="E38" s="3" t="s">
        <v>88</v>
      </c>
      <c r="F38" s="6">
        <v>1240</v>
      </c>
      <c r="G38" s="15">
        <v>0.58680555555555558</v>
      </c>
      <c r="H38" s="15">
        <v>0.61967592592592591</v>
      </c>
      <c r="I38" s="15">
        <f t="shared" si="2"/>
        <v>3.2870370370370328E-2</v>
      </c>
      <c r="J38" s="15">
        <f t="shared" si="3"/>
        <v>2.650836320191155E-2</v>
      </c>
      <c r="K38" s="4">
        <v>15</v>
      </c>
    </row>
    <row r="39" spans="1:11" x14ac:dyDescent="0.3">
      <c r="A39" s="3">
        <v>16</v>
      </c>
      <c r="B39" s="4" t="s">
        <v>23</v>
      </c>
      <c r="C39" s="8">
        <v>6238</v>
      </c>
      <c r="D39" s="3" t="s">
        <v>81</v>
      </c>
      <c r="E39" s="7" t="s">
        <v>82</v>
      </c>
      <c r="F39" s="6">
        <v>1240</v>
      </c>
      <c r="G39" s="15">
        <v>0.58680555555555558</v>
      </c>
      <c r="H39" s="15">
        <v>0.62537037037037035</v>
      </c>
      <c r="I39" s="15">
        <f t="shared" si="2"/>
        <v>3.8564814814814774E-2</v>
      </c>
      <c r="J39" s="15">
        <f t="shared" si="3"/>
        <v>3.1100657108721591E-2</v>
      </c>
      <c r="K39" s="4">
        <v>16</v>
      </c>
    </row>
    <row r="45" spans="1:11" ht="32.4" x14ac:dyDescent="0.3">
      <c r="A45" s="40" t="s">
        <v>58</v>
      </c>
      <c r="B45" s="40"/>
      <c r="C45" s="40"/>
      <c r="D45" s="40"/>
      <c r="E45" s="40"/>
      <c r="F45" s="40"/>
      <c r="G45" s="40"/>
      <c r="H45" s="40"/>
      <c r="I45" s="40"/>
      <c r="J45"/>
      <c r="K45"/>
    </row>
    <row r="46" spans="1:11" ht="32.4" x14ac:dyDescent="0.3">
      <c r="A46" s="41" t="s">
        <v>61</v>
      </c>
      <c r="B46" s="41"/>
      <c r="C46" s="41"/>
      <c r="D46" s="41"/>
      <c r="E46" s="41"/>
      <c r="F46" s="41"/>
      <c r="G46" s="41"/>
      <c r="H46" s="41"/>
      <c r="I46" s="41"/>
      <c r="J46"/>
      <c r="K46"/>
    </row>
    <row r="47" spans="1:11" x14ac:dyDescent="0.3">
      <c r="A47" s="16"/>
      <c r="B47" s="17" t="s">
        <v>16</v>
      </c>
      <c r="C47" s="17" t="s">
        <v>17</v>
      </c>
      <c r="D47" s="16" t="s">
        <v>18</v>
      </c>
      <c r="E47" s="16" t="s">
        <v>2</v>
      </c>
      <c r="F47" s="18" t="s">
        <v>38</v>
      </c>
      <c r="G47" s="18" t="s">
        <v>44</v>
      </c>
      <c r="H47" s="18" t="s">
        <v>45</v>
      </c>
      <c r="I47" s="18" t="s">
        <v>47</v>
      </c>
      <c r="J47"/>
      <c r="K47"/>
    </row>
    <row r="48" spans="1:11" x14ac:dyDescent="0.3">
      <c r="A48" s="3">
        <v>1</v>
      </c>
      <c r="B48" s="6" t="s">
        <v>62</v>
      </c>
      <c r="C48" s="5" t="s">
        <v>63</v>
      </c>
      <c r="D48" s="5" t="s">
        <v>71</v>
      </c>
      <c r="E48" s="10"/>
      <c r="F48" s="4">
        <v>1200</v>
      </c>
      <c r="G48" s="4">
        <v>2</v>
      </c>
      <c r="H48" s="4">
        <v>1</v>
      </c>
      <c r="I48" s="4">
        <f t="shared" ref="I48:I63" si="4">SUM(G48:H48)</f>
        <v>3</v>
      </c>
      <c r="J48"/>
      <c r="K48"/>
    </row>
    <row r="49" spans="1:11" x14ac:dyDescent="0.3">
      <c r="A49" s="3">
        <v>2</v>
      </c>
      <c r="B49" s="6" t="s">
        <v>62</v>
      </c>
      <c r="C49" s="5" t="s">
        <v>65</v>
      </c>
      <c r="D49" s="3" t="s">
        <v>73</v>
      </c>
      <c r="E49" s="10"/>
      <c r="F49" s="4">
        <v>1200</v>
      </c>
      <c r="G49" s="4">
        <v>1</v>
      </c>
      <c r="H49" s="4">
        <v>6</v>
      </c>
      <c r="I49" s="4">
        <f t="shared" si="4"/>
        <v>7</v>
      </c>
      <c r="J49"/>
      <c r="K49"/>
    </row>
    <row r="50" spans="1:11" x14ac:dyDescent="0.3">
      <c r="A50" s="3">
        <v>3</v>
      </c>
      <c r="B50" s="4" t="s">
        <v>23</v>
      </c>
      <c r="C50" s="5">
        <v>6241</v>
      </c>
      <c r="D50" s="3" t="s">
        <v>24</v>
      </c>
      <c r="E50" s="3" t="s">
        <v>31</v>
      </c>
      <c r="F50" s="6">
        <v>1240</v>
      </c>
      <c r="G50" s="4">
        <v>3</v>
      </c>
      <c r="H50" s="4">
        <v>5</v>
      </c>
      <c r="I50" s="4">
        <f t="shared" si="4"/>
        <v>8</v>
      </c>
      <c r="J50"/>
      <c r="K50"/>
    </row>
    <row r="51" spans="1:11" x14ac:dyDescent="0.3">
      <c r="A51" s="3">
        <v>4</v>
      </c>
      <c r="B51" s="6" t="s">
        <v>62</v>
      </c>
      <c r="C51" s="5">
        <v>135350</v>
      </c>
      <c r="D51" s="3" t="s">
        <v>76</v>
      </c>
      <c r="E51" s="10"/>
      <c r="F51" s="4">
        <v>1200</v>
      </c>
      <c r="G51" s="4">
        <v>4</v>
      </c>
      <c r="H51" s="4">
        <v>4</v>
      </c>
      <c r="I51" s="4">
        <f t="shared" si="4"/>
        <v>8</v>
      </c>
      <c r="J51"/>
      <c r="K51"/>
    </row>
    <row r="52" spans="1:11" x14ac:dyDescent="0.3">
      <c r="A52" s="3">
        <v>5</v>
      </c>
      <c r="B52" s="6" t="s">
        <v>62</v>
      </c>
      <c r="C52" s="5" t="s">
        <v>68</v>
      </c>
      <c r="D52" s="5" t="s">
        <v>79</v>
      </c>
      <c r="E52" s="3"/>
      <c r="F52" s="4">
        <v>1200</v>
      </c>
      <c r="G52" s="4">
        <v>7</v>
      </c>
      <c r="H52" s="4">
        <v>3</v>
      </c>
      <c r="I52" s="4">
        <f t="shared" si="4"/>
        <v>10</v>
      </c>
      <c r="J52"/>
      <c r="K52"/>
    </row>
    <row r="53" spans="1:11" x14ac:dyDescent="0.3">
      <c r="A53" s="3">
        <v>6</v>
      </c>
      <c r="B53" s="6" t="s">
        <v>62</v>
      </c>
      <c r="C53" s="3" t="s">
        <v>69</v>
      </c>
      <c r="D53" s="3" t="s">
        <v>80</v>
      </c>
      <c r="E53" s="3"/>
      <c r="F53" s="4">
        <v>1200</v>
      </c>
      <c r="G53" s="4">
        <v>5</v>
      </c>
      <c r="H53" s="4">
        <v>7</v>
      </c>
      <c r="I53" s="4">
        <f t="shared" si="4"/>
        <v>12</v>
      </c>
      <c r="J53"/>
      <c r="K53"/>
    </row>
    <row r="54" spans="1:11" x14ac:dyDescent="0.3">
      <c r="A54" s="3">
        <v>7</v>
      </c>
      <c r="B54" s="6" t="s">
        <v>62</v>
      </c>
      <c r="C54" s="3" t="s">
        <v>67</v>
      </c>
      <c r="D54" s="3" t="s">
        <v>78</v>
      </c>
      <c r="E54" s="10"/>
      <c r="F54" s="4">
        <v>1200</v>
      </c>
      <c r="G54" s="4">
        <v>6</v>
      </c>
      <c r="H54" s="4">
        <v>9</v>
      </c>
      <c r="I54" s="4">
        <f t="shared" si="4"/>
        <v>15</v>
      </c>
      <c r="J54"/>
      <c r="K54"/>
    </row>
    <row r="55" spans="1:11" x14ac:dyDescent="0.3">
      <c r="A55" s="3">
        <v>8</v>
      </c>
      <c r="B55" s="4" t="s">
        <v>23</v>
      </c>
      <c r="C55" s="8">
        <v>6239</v>
      </c>
      <c r="D55" s="5" t="s">
        <v>29</v>
      </c>
      <c r="E55" s="5" t="s">
        <v>30</v>
      </c>
      <c r="F55" s="6">
        <v>1240</v>
      </c>
      <c r="G55" s="4">
        <v>9</v>
      </c>
      <c r="H55" s="4">
        <v>8</v>
      </c>
      <c r="I55" s="4">
        <f t="shared" si="4"/>
        <v>17</v>
      </c>
      <c r="J55"/>
      <c r="K55"/>
    </row>
    <row r="56" spans="1:11" x14ac:dyDescent="0.3">
      <c r="A56" s="3">
        <v>9</v>
      </c>
      <c r="B56" s="6" t="s">
        <v>62</v>
      </c>
      <c r="C56" s="5" t="s">
        <v>64</v>
      </c>
      <c r="D56" s="5" t="s">
        <v>72</v>
      </c>
      <c r="E56" s="10"/>
      <c r="F56" s="4">
        <v>1200</v>
      </c>
      <c r="G56" s="4">
        <v>8</v>
      </c>
      <c r="H56" s="4">
        <v>10</v>
      </c>
      <c r="I56" s="4">
        <f t="shared" si="4"/>
        <v>18</v>
      </c>
      <c r="J56"/>
      <c r="K56"/>
    </row>
    <row r="57" spans="1:11" x14ac:dyDescent="0.3">
      <c r="A57" s="3">
        <v>10</v>
      </c>
      <c r="B57" s="4" t="s">
        <v>23</v>
      </c>
      <c r="C57" s="8">
        <v>6243</v>
      </c>
      <c r="D57" s="3" t="s">
        <v>83</v>
      </c>
      <c r="E57" s="3" t="s">
        <v>84</v>
      </c>
      <c r="F57" s="6">
        <v>1240</v>
      </c>
      <c r="G57" s="34">
        <v>17</v>
      </c>
      <c r="H57" s="4">
        <v>2</v>
      </c>
      <c r="I57" s="4">
        <f t="shared" si="4"/>
        <v>19</v>
      </c>
      <c r="J57"/>
      <c r="K57"/>
    </row>
    <row r="58" spans="1:11" x14ac:dyDescent="0.3">
      <c r="A58" s="3">
        <v>11</v>
      </c>
      <c r="B58" s="6" t="s">
        <v>62</v>
      </c>
      <c r="C58" s="5">
        <v>179864</v>
      </c>
      <c r="D58" s="3" t="s">
        <v>74</v>
      </c>
      <c r="E58" s="30"/>
      <c r="F58" s="4">
        <v>1200</v>
      </c>
      <c r="G58" s="4">
        <v>10</v>
      </c>
      <c r="H58" s="4">
        <v>12</v>
      </c>
      <c r="I58" s="4">
        <f t="shared" si="4"/>
        <v>22</v>
      </c>
      <c r="J58"/>
      <c r="K58"/>
    </row>
    <row r="59" spans="1:11" x14ac:dyDescent="0.3">
      <c r="A59" s="3">
        <v>12</v>
      </c>
      <c r="B59" s="4" t="s">
        <v>62</v>
      </c>
      <c r="C59" s="5" t="s">
        <v>66</v>
      </c>
      <c r="D59" s="39" t="s">
        <v>75</v>
      </c>
      <c r="E59" s="31"/>
      <c r="F59" s="4">
        <v>1200</v>
      </c>
      <c r="G59" s="4">
        <v>11</v>
      </c>
      <c r="H59" s="4">
        <v>11</v>
      </c>
      <c r="I59" s="4">
        <f t="shared" si="4"/>
        <v>22</v>
      </c>
      <c r="J59"/>
      <c r="K59"/>
    </row>
    <row r="60" spans="1:11" x14ac:dyDescent="0.3">
      <c r="A60" s="3">
        <v>13</v>
      </c>
      <c r="B60" s="4" t="s">
        <v>23</v>
      </c>
      <c r="C60" s="8" t="s">
        <v>191</v>
      </c>
      <c r="D60" s="3" t="s">
        <v>85</v>
      </c>
      <c r="E60" s="3" t="s">
        <v>86</v>
      </c>
      <c r="F60" s="6">
        <v>1240</v>
      </c>
      <c r="G60" s="4">
        <v>12</v>
      </c>
      <c r="H60" s="4">
        <v>14</v>
      </c>
      <c r="I60" s="4">
        <f t="shared" si="4"/>
        <v>26</v>
      </c>
      <c r="J60"/>
      <c r="K60"/>
    </row>
    <row r="61" spans="1:11" x14ac:dyDescent="0.3">
      <c r="A61" s="3">
        <v>14</v>
      </c>
      <c r="B61" s="6" t="s">
        <v>62</v>
      </c>
      <c r="C61" s="5">
        <v>135669</v>
      </c>
      <c r="D61" s="3" t="s">
        <v>77</v>
      </c>
      <c r="E61" s="10"/>
      <c r="F61" s="4">
        <v>1200</v>
      </c>
      <c r="G61" s="4">
        <v>14</v>
      </c>
      <c r="H61" s="4">
        <v>13</v>
      </c>
      <c r="I61" s="4">
        <f t="shared" si="4"/>
        <v>27</v>
      </c>
      <c r="J61"/>
      <c r="K61"/>
    </row>
    <row r="62" spans="1:11" x14ac:dyDescent="0.3">
      <c r="A62" s="3">
        <v>15</v>
      </c>
      <c r="B62" s="4" t="s">
        <v>23</v>
      </c>
      <c r="C62" s="8" t="s">
        <v>70</v>
      </c>
      <c r="D62" s="3" t="s">
        <v>87</v>
      </c>
      <c r="E62" s="3" t="s">
        <v>88</v>
      </c>
      <c r="F62" s="6">
        <v>1240</v>
      </c>
      <c r="G62" s="4">
        <v>13</v>
      </c>
      <c r="H62" s="4">
        <v>15</v>
      </c>
      <c r="I62" s="4">
        <f t="shared" si="4"/>
        <v>28</v>
      </c>
      <c r="J62"/>
      <c r="K62"/>
    </row>
    <row r="63" spans="1:11" x14ac:dyDescent="0.3">
      <c r="A63" s="3">
        <v>16</v>
      </c>
      <c r="B63" s="4" t="s">
        <v>23</v>
      </c>
      <c r="C63" s="8">
        <v>6238</v>
      </c>
      <c r="D63" s="3" t="s">
        <v>81</v>
      </c>
      <c r="E63" s="7" t="s">
        <v>82</v>
      </c>
      <c r="F63" s="6">
        <v>1240</v>
      </c>
      <c r="G63" s="4">
        <v>15</v>
      </c>
      <c r="H63" s="4">
        <v>16</v>
      </c>
      <c r="I63" s="4">
        <f t="shared" si="4"/>
        <v>31</v>
      </c>
      <c r="J63"/>
      <c r="K63"/>
    </row>
    <row r="66" spans="4:7" x14ac:dyDescent="0.3">
      <c r="D66" s="25" t="s">
        <v>55</v>
      </c>
      <c r="E66" s="28" t="s">
        <v>56</v>
      </c>
      <c r="F66" s="26" t="s">
        <v>54</v>
      </c>
      <c r="G66" s="27" t="s">
        <v>57</v>
      </c>
    </row>
  </sheetData>
  <sortState ref="B48:I63">
    <sortCondition ref="I48:I63"/>
  </sortState>
  <mergeCells count="6">
    <mergeCell ref="A1:K1"/>
    <mergeCell ref="A2:K2"/>
    <mergeCell ref="A21:K21"/>
    <mergeCell ref="A22:K22"/>
    <mergeCell ref="A45:I45"/>
    <mergeCell ref="A46:I46"/>
  </mergeCells>
  <printOptions horizontalCentered="1"/>
  <pageMargins left="0" right="0" top="0.75" bottom="0.75" header="0.3" footer="0.3"/>
  <pageSetup scale="76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view="pageBreakPreview" topLeftCell="A76" zoomScale="95" zoomScaleNormal="100" zoomScaleSheetLayoutView="95" workbookViewId="0">
      <selection activeCell="C7" sqref="C7"/>
    </sheetView>
  </sheetViews>
  <sheetFormatPr defaultRowHeight="14.4" x14ac:dyDescent="0.3"/>
  <cols>
    <col min="1" max="1" width="5.33203125" customWidth="1"/>
    <col min="2" max="2" width="14.33203125" style="2" customWidth="1"/>
    <col min="3" max="3" width="13.6640625" style="2" customWidth="1"/>
    <col min="4" max="4" width="22.6640625" customWidth="1"/>
    <col min="5" max="6" width="15.6640625" style="1" customWidth="1"/>
    <col min="7" max="7" width="15.6640625" customWidth="1"/>
  </cols>
  <sheetData>
    <row r="1" spans="1:6" ht="30.6" customHeight="1" x14ac:dyDescent="0.3">
      <c r="A1" s="44" t="s">
        <v>58</v>
      </c>
      <c r="B1" s="44"/>
      <c r="C1" s="44"/>
      <c r="D1" s="44"/>
      <c r="E1" s="44"/>
      <c r="F1" s="44"/>
    </row>
    <row r="2" spans="1:6" ht="19.2" customHeight="1" x14ac:dyDescent="0.3">
      <c r="A2" s="44" t="s">
        <v>49</v>
      </c>
      <c r="B2" s="44"/>
      <c r="C2" s="44"/>
      <c r="D2" s="44"/>
      <c r="E2" s="44"/>
      <c r="F2" s="44"/>
    </row>
    <row r="3" spans="1:6" x14ac:dyDescent="0.3">
      <c r="A3" s="12"/>
      <c r="B3" s="13" t="s">
        <v>16</v>
      </c>
      <c r="C3" s="13" t="s">
        <v>17</v>
      </c>
      <c r="D3" s="12" t="s">
        <v>18</v>
      </c>
      <c r="E3" s="14" t="s">
        <v>39</v>
      </c>
      <c r="F3" s="14" t="s">
        <v>50</v>
      </c>
    </row>
    <row r="4" spans="1:6" x14ac:dyDescent="0.3">
      <c r="A4" s="3">
        <v>1</v>
      </c>
      <c r="B4" s="4" t="s">
        <v>114</v>
      </c>
      <c r="C4" s="10" t="s">
        <v>179</v>
      </c>
      <c r="D4" s="10" t="s">
        <v>180</v>
      </c>
      <c r="E4" s="15">
        <v>0.54097222222222219</v>
      </c>
      <c r="F4" s="4">
        <v>1</v>
      </c>
    </row>
    <row r="5" spans="1:6" x14ac:dyDescent="0.3">
      <c r="A5" s="3">
        <v>2</v>
      </c>
      <c r="B5" s="6" t="s">
        <v>114</v>
      </c>
      <c r="C5" s="5" t="s">
        <v>11</v>
      </c>
      <c r="D5" s="5" t="s">
        <v>12</v>
      </c>
      <c r="E5" s="15">
        <v>0.54097222222222219</v>
      </c>
      <c r="F5" s="4">
        <v>2</v>
      </c>
    </row>
    <row r="6" spans="1:6" x14ac:dyDescent="0.3">
      <c r="A6" s="3">
        <v>3</v>
      </c>
      <c r="B6" s="6" t="s">
        <v>114</v>
      </c>
      <c r="C6" s="5" t="s">
        <v>151</v>
      </c>
      <c r="D6" s="5" t="s">
        <v>37</v>
      </c>
      <c r="E6" s="15">
        <v>0.54097222222222219</v>
      </c>
      <c r="F6" s="4">
        <v>3</v>
      </c>
    </row>
    <row r="7" spans="1:6" x14ac:dyDescent="0.3">
      <c r="A7" s="3">
        <v>4</v>
      </c>
      <c r="B7" s="6" t="s">
        <v>114</v>
      </c>
      <c r="C7" s="5" t="s">
        <v>117</v>
      </c>
      <c r="D7" s="5" t="s">
        <v>10</v>
      </c>
      <c r="E7" s="15">
        <v>0.54097222222222219</v>
      </c>
      <c r="F7" s="4">
        <v>4</v>
      </c>
    </row>
    <row r="8" spans="1:6" x14ac:dyDescent="0.3">
      <c r="A8" s="3">
        <v>5</v>
      </c>
      <c r="B8" s="6" t="s">
        <v>114</v>
      </c>
      <c r="C8" s="5" t="s">
        <v>21</v>
      </c>
      <c r="D8" s="3" t="s">
        <v>22</v>
      </c>
      <c r="E8" s="15">
        <v>0.54097222222222219</v>
      </c>
      <c r="F8" s="4">
        <v>5</v>
      </c>
    </row>
    <row r="9" spans="1:6" x14ac:dyDescent="0.3">
      <c r="A9" s="3">
        <v>6</v>
      </c>
      <c r="B9" s="4" t="s">
        <v>114</v>
      </c>
      <c r="C9" s="5" t="s">
        <v>35</v>
      </c>
      <c r="D9" s="3" t="s">
        <v>36</v>
      </c>
      <c r="E9" s="15">
        <v>0.54097222222222219</v>
      </c>
      <c r="F9" s="4">
        <v>6</v>
      </c>
    </row>
    <row r="10" spans="1:6" x14ac:dyDescent="0.3">
      <c r="A10" s="3">
        <v>7</v>
      </c>
      <c r="B10" s="4" t="s">
        <v>114</v>
      </c>
      <c r="C10" s="5" t="s">
        <v>171</v>
      </c>
      <c r="D10" s="5" t="s">
        <v>172</v>
      </c>
      <c r="E10" s="15">
        <v>0.54097222222222219</v>
      </c>
      <c r="F10" s="4">
        <v>7</v>
      </c>
    </row>
    <row r="11" spans="1:6" x14ac:dyDescent="0.3">
      <c r="A11" s="3">
        <v>8</v>
      </c>
      <c r="B11" s="4" t="s">
        <v>114</v>
      </c>
      <c r="C11" s="5" t="s">
        <v>164</v>
      </c>
      <c r="D11" s="3" t="s">
        <v>27</v>
      </c>
      <c r="E11" s="15">
        <v>0.54097222222222219</v>
      </c>
      <c r="F11" s="4">
        <v>8</v>
      </c>
    </row>
    <row r="12" spans="1:6" x14ac:dyDescent="0.3">
      <c r="A12" s="3">
        <v>9</v>
      </c>
      <c r="B12" s="6" t="s">
        <v>114</v>
      </c>
      <c r="C12" s="5" t="s">
        <v>139</v>
      </c>
      <c r="D12" s="5" t="s">
        <v>140</v>
      </c>
      <c r="E12" s="15">
        <v>0.54097222222222219</v>
      </c>
      <c r="F12" s="4">
        <v>9</v>
      </c>
    </row>
    <row r="13" spans="1:6" x14ac:dyDescent="0.3">
      <c r="A13" s="3">
        <v>10</v>
      </c>
      <c r="B13" s="4" t="s">
        <v>114</v>
      </c>
      <c r="C13" s="5" t="s">
        <v>159</v>
      </c>
      <c r="D13" s="5" t="s">
        <v>4</v>
      </c>
      <c r="E13" s="15">
        <v>0.54097222222222219</v>
      </c>
      <c r="F13" s="4">
        <v>10</v>
      </c>
    </row>
    <row r="14" spans="1:6" x14ac:dyDescent="0.3">
      <c r="A14" s="3">
        <v>11</v>
      </c>
      <c r="B14" s="4" t="s">
        <v>114</v>
      </c>
      <c r="C14" s="5" t="s">
        <v>137</v>
      </c>
      <c r="D14" s="3" t="s">
        <v>138</v>
      </c>
      <c r="E14" s="15">
        <v>0.54097222222222219</v>
      </c>
      <c r="F14" s="4">
        <v>11</v>
      </c>
    </row>
    <row r="15" spans="1:6" x14ac:dyDescent="0.3">
      <c r="A15" s="3">
        <v>12</v>
      </c>
      <c r="B15" s="4" t="s">
        <v>114</v>
      </c>
      <c r="C15" s="5" t="s">
        <v>0</v>
      </c>
      <c r="D15" s="5" t="s">
        <v>1</v>
      </c>
      <c r="E15" s="15">
        <v>0.54097222222222219</v>
      </c>
      <c r="F15" s="4">
        <v>12</v>
      </c>
    </row>
    <row r="16" spans="1:6" x14ac:dyDescent="0.3">
      <c r="A16" s="3">
        <v>13</v>
      </c>
      <c r="B16" s="4" t="s">
        <v>114</v>
      </c>
      <c r="C16" s="5" t="s">
        <v>19</v>
      </c>
      <c r="D16" s="5" t="s">
        <v>155</v>
      </c>
      <c r="E16" s="15">
        <v>0.54097222222222219</v>
      </c>
      <c r="F16" s="4">
        <v>13</v>
      </c>
    </row>
    <row r="17" spans="1:6" x14ac:dyDescent="0.3">
      <c r="A17" s="3">
        <v>14</v>
      </c>
      <c r="B17" s="4" t="s">
        <v>114</v>
      </c>
      <c r="C17" s="5" t="s">
        <v>175</v>
      </c>
      <c r="D17" s="5" t="s">
        <v>176</v>
      </c>
      <c r="E17" s="15">
        <v>0.54097222222222219</v>
      </c>
      <c r="F17" s="4">
        <v>14</v>
      </c>
    </row>
    <row r="18" spans="1:6" x14ac:dyDescent="0.3">
      <c r="A18" s="3">
        <v>15</v>
      </c>
      <c r="B18" s="4" t="s">
        <v>114</v>
      </c>
      <c r="C18" s="5" t="s">
        <v>152</v>
      </c>
      <c r="D18" s="5" t="s">
        <v>20</v>
      </c>
      <c r="E18" s="15">
        <v>0.54097222222222219</v>
      </c>
      <c r="F18" s="4">
        <v>15</v>
      </c>
    </row>
    <row r="19" spans="1:6" x14ac:dyDescent="0.3">
      <c r="A19" s="3">
        <v>16</v>
      </c>
      <c r="B19" s="4" t="s">
        <v>114</v>
      </c>
      <c r="C19" s="5" t="s">
        <v>135</v>
      </c>
      <c r="D19" s="3" t="s">
        <v>136</v>
      </c>
      <c r="E19" s="15">
        <v>0.54097222222222219</v>
      </c>
      <c r="F19" s="4">
        <v>16</v>
      </c>
    </row>
    <row r="20" spans="1:6" x14ac:dyDescent="0.3">
      <c r="A20" s="3">
        <v>17</v>
      </c>
      <c r="B20" s="4" t="s">
        <v>114</v>
      </c>
      <c r="C20" s="3" t="s">
        <v>173</v>
      </c>
      <c r="D20" s="3" t="s">
        <v>174</v>
      </c>
      <c r="E20" s="15">
        <v>0.54097222222222219</v>
      </c>
      <c r="F20" s="4">
        <v>17</v>
      </c>
    </row>
    <row r="21" spans="1:6" x14ac:dyDescent="0.3">
      <c r="A21" s="3">
        <v>18</v>
      </c>
      <c r="B21" s="4" t="s">
        <v>114</v>
      </c>
      <c r="C21" s="5" t="s">
        <v>162</v>
      </c>
      <c r="D21" s="5" t="s">
        <v>163</v>
      </c>
      <c r="E21" s="15">
        <v>0.54097222222222219</v>
      </c>
      <c r="F21" s="4">
        <v>18</v>
      </c>
    </row>
    <row r="22" spans="1:6" x14ac:dyDescent="0.3">
      <c r="A22" s="3">
        <v>19</v>
      </c>
      <c r="B22" s="4" t="s">
        <v>114</v>
      </c>
      <c r="C22" s="5" t="s">
        <v>124</v>
      </c>
      <c r="D22" s="5" t="s">
        <v>125</v>
      </c>
      <c r="E22" s="15">
        <v>0.54097222222222219</v>
      </c>
      <c r="F22" s="4">
        <v>19</v>
      </c>
    </row>
    <row r="23" spans="1:6" x14ac:dyDescent="0.3">
      <c r="A23" s="3">
        <v>20</v>
      </c>
      <c r="B23" s="4" t="s">
        <v>114</v>
      </c>
      <c r="C23" s="5" t="s">
        <v>133</v>
      </c>
      <c r="D23" s="5" t="s">
        <v>5</v>
      </c>
      <c r="E23" s="15">
        <v>0.54097222222222219</v>
      </c>
      <c r="F23" s="4">
        <v>20</v>
      </c>
    </row>
    <row r="24" spans="1:6" x14ac:dyDescent="0.3">
      <c r="A24" s="3">
        <v>21</v>
      </c>
      <c r="B24" s="4" t="s">
        <v>114</v>
      </c>
      <c r="C24" s="5" t="s">
        <v>122</v>
      </c>
      <c r="D24" s="5" t="s">
        <v>123</v>
      </c>
      <c r="E24" s="15">
        <v>0.54097222222222219</v>
      </c>
      <c r="F24" s="4">
        <v>21</v>
      </c>
    </row>
    <row r="25" spans="1:6" x14ac:dyDescent="0.3">
      <c r="A25" s="3">
        <v>22</v>
      </c>
      <c r="B25" s="6" t="s">
        <v>114</v>
      </c>
      <c r="C25" s="5" t="s">
        <v>15</v>
      </c>
      <c r="D25" s="5" t="s">
        <v>177</v>
      </c>
      <c r="E25" s="15">
        <v>0.54097222222222219</v>
      </c>
      <c r="F25" s="4">
        <v>22</v>
      </c>
    </row>
    <row r="26" spans="1:6" x14ac:dyDescent="0.3">
      <c r="A26" s="3">
        <v>23</v>
      </c>
      <c r="B26" s="4" t="s">
        <v>114</v>
      </c>
      <c r="C26" s="5" t="s">
        <v>25</v>
      </c>
      <c r="D26" s="3" t="s">
        <v>26</v>
      </c>
      <c r="E26" s="15">
        <v>0.54097222222222219</v>
      </c>
      <c r="F26" s="4">
        <v>23</v>
      </c>
    </row>
    <row r="27" spans="1:6" x14ac:dyDescent="0.3">
      <c r="A27" s="3">
        <v>24</v>
      </c>
      <c r="B27" s="4" t="s">
        <v>114</v>
      </c>
      <c r="C27" s="5" t="s">
        <v>121</v>
      </c>
      <c r="D27" s="5" t="s">
        <v>33</v>
      </c>
      <c r="E27" s="15">
        <v>0.54097222222222219</v>
      </c>
      <c r="F27" s="4">
        <v>24</v>
      </c>
    </row>
    <row r="28" spans="1:6" x14ac:dyDescent="0.3">
      <c r="A28" s="3">
        <v>25</v>
      </c>
      <c r="B28" s="4" t="s">
        <v>114</v>
      </c>
      <c r="C28" s="3" t="s">
        <v>143</v>
      </c>
      <c r="D28" s="3" t="s">
        <v>144</v>
      </c>
      <c r="E28" s="15">
        <v>0.54097222222222219</v>
      </c>
      <c r="F28" s="4">
        <v>25</v>
      </c>
    </row>
    <row r="29" spans="1:6" x14ac:dyDescent="0.3">
      <c r="A29" s="3">
        <v>26</v>
      </c>
      <c r="B29" s="4" t="s">
        <v>114</v>
      </c>
      <c r="C29" s="5" t="s">
        <v>160</v>
      </c>
      <c r="D29" s="5" t="s">
        <v>7</v>
      </c>
      <c r="E29" s="15">
        <v>0.54097222222222219</v>
      </c>
      <c r="F29" s="4">
        <v>26</v>
      </c>
    </row>
    <row r="30" spans="1:6" x14ac:dyDescent="0.3">
      <c r="A30" s="3">
        <v>27</v>
      </c>
      <c r="B30" s="6" t="s">
        <v>114</v>
      </c>
      <c r="C30" s="5" t="s">
        <v>8</v>
      </c>
      <c r="D30" s="3" t="s">
        <v>9</v>
      </c>
      <c r="E30" s="15">
        <v>0.54097222222222219</v>
      </c>
      <c r="F30" s="4">
        <v>27</v>
      </c>
    </row>
    <row r="31" spans="1:6" x14ac:dyDescent="0.3">
      <c r="A31" s="3">
        <v>28</v>
      </c>
      <c r="B31" s="6" t="s">
        <v>114</v>
      </c>
      <c r="C31" s="5" t="s">
        <v>157</v>
      </c>
      <c r="D31" s="5" t="s">
        <v>158</v>
      </c>
      <c r="E31" s="15">
        <v>0.54097222222222219</v>
      </c>
      <c r="F31" s="4">
        <v>28</v>
      </c>
    </row>
    <row r="32" spans="1:6" x14ac:dyDescent="0.3">
      <c r="A32" s="3">
        <v>29</v>
      </c>
      <c r="B32" s="4" t="s">
        <v>114</v>
      </c>
      <c r="C32" s="5" t="s">
        <v>156</v>
      </c>
      <c r="D32" s="5" t="s">
        <v>28</v>
      </c>
      <c r="E32" s="15">
        <v>0.54097222222222219</v>
      </c>
      <c r="F32" s="4">
        <v>29</v>
      </c>
    </row>
    <row r="33" spans="1:6" x14ac:dyDescent="0.3">
      <c r="A33" s="3">
        <v>30</v>
      </c>
      <c r="B33" s="4" t="s">
        <v>114</v>
      </c>
      <c r="C33" s="5" t="s">
        <v>161</v>
      </c>
      <c r="D33" s="5" t="s">
        <v>6</v>
      </c>
      <c r="E33" s="15">
        <v>0.54097222222222219</v>
      </c>
      <c r="F33" s="4">
        <v>30</v>
      </c>
    </row>
    <row r="34" spans="1:6" x14ac:dyDescent="0.3">
      <c r="A34" s="3">
        <v>31</v>
      </c>
      <c r="B34" s="6" t="s">
        <v>114</v>
      </c>
      <c r="C34" s="5" t="s">
        <v>119</v>
      </c>
      <c r="D34" s="5" t="s">
        <v>120</v>
      </c>
      <c r="E34" s="15">
        <v>0.54097222222222219</v>
      </c>
      <c r="F34" s="4">
        <v>31</v>
      </c>
    </row>
    <row r="35" spans="1:6" x14ac:dyDescent="0.3">
      <c r="A35" s="3">
        <v>32</v>
      </c>
      <c r="B35" s="4" t="s">
        <v>114</v>
      </c>
      <c r="C35" s="5" t="s">
        <v>126</v>
      </c>
      <c r="D35" s="3" t="s">
        <v>34</v>
      </c>
      <c r="E35" s="15">
        <v>0.54097222222222219</v>
      </c>
      <c r="F35" s="4">
        <v>32</v>
      </c>
    </row>
    <row r="36" spans="1:6" x14ac:dyDescent="0.3">
      <c r="A36" s="3">
        <v>33</v>
      </c>
      <c r="B36" s="4" t="s">
        <v>114</v>
      </c>
      <c r="C36" s="8" t="s">
        <v>127</v>
      </c>
      <c r="D36" s="5" t="s">
        <v>128</v>
      </c>
      <c r="E36" s="15">
        <v>0.54097222222222219</v>
      </c>
      <c r="F36" s="4">
        <v>33</v>
      </c>
    </row>
    <row r="37" spans="1:6" x14ac:dyDescent="0.3">
      <c r="A37" s="3">
        <v>34</v>
      </c>
      <c r="B37" s="4" t="s">
        <v>114</v>
      </c>
      <c r="C37" s="5" t="s">
        <v>32</v>
      </c>
      <c r="D37" s="5" t="s">
        <v>118</v>
      </c>
      <c r="E37" s="15">
        <v>0.54097222222222219</v>
      </c>
      <c r="F37" s="4">
        <v>34</v>
      </c>
    </row>
    <row r="38" spans="1:6" x14ac:dyDescent="0.3">
      <c r="A38" s="3">
        <v>35</v>
      </c>
      <c r="B38" s="4" t="s">
        <v>114</v>
      </c>
      <c r="C38" s="5" t="s">
        <v>153</v>
      </c>
      <c r="D38" s="5" t="s">
        <v>154</v>
      </c>
      <c r="E38" s="15">
        <v>0.54097222222222219</v>
      </c>
      <c r="F38" s="4">
        <v>35</v>
      </c>
    </row>
    <row r="39" spans="1:6" x14ac:dyDescent="0.3">
      <c r="A39" s="3">
        <v>36</v>
      </c>
      <c r="B39" s="6" t="s">
        <v>114</v>
      </c>
      <c r="C39" s="5" t="s">
        <v>13</v>
      </c>
      <c r="D39" s="5" t="s">
        <v>14</v>
      </c>
      <c r="E39" s="15">
        <v>0.54097222222222219</v>
      </c>
      <c r="F39" s="4">
        <v>36</v>
      </c>
    </row>
    <row r="40" spans="1:6" x14ac:dyDescent="0.3">
      <c r="A40" s="3">
        <v>37</v>
      </c>
      <c r="B40" s="4" t="s">
        <v>114</v>
      </c>
      <c r="C40" s="5" t="s">
        <v>149</v>
      </c>
      <c r="D40" s="5" t="s">
        <v>150</v>
      </c>
      <c r="E40" s="15">
        <v>0.54097222222222219</v>
      </c>
      <c r="F40" s="4">
        <v>37</v>
      </c>
    </row>
    <row r="41" spans="1:6" x14ac:dyDescent="0.3">
      <c r="A41" s="3">
        <v>38</v>
      </c>
      <c r="B41" s="6" t="s">
        <v>114</v>
      </c>
      <c r="C41" s="5" t="s">
        <v>129</v>
      </c>
      <c r="D41" s="3" t="s">
        <v>130</v>
      </c>
      <c r="E41" s="15">
        <v>0.54097222222222219</v>
      </c>
      <c r="F41" s="6">
        <v>38</v>
      </c>
    </row>
    <row r="42" spans="1:6" x14ac:dyDescent="0.3">
      <c r="A42" s="3">
        <v>39</v>
      </c>
      <c r="B42" s="4" t="s">
        <v>114</v>
      </c>
      <c r="C42" s="5" t="s">
        <v>147</v>
      </c>
      <c r="D42" s="5" t="s">
        <v>148</v>
      </c>
      <c r="E42" s="15">
        <v>0.54097222222222219</v>
      </c>
      <c r="F42" s="4">
        <v>39</v>
      </c>
    </row>
    <row r="43" spans="1:6" x14ac:dyDescent="0.3">
      <c r="A43" s="3">
        <v>40</v>
      </c>
      <c r="B43" s="4" t="s">
        <v>114</v>
      </c>
      <c r="C43" s="5" t="s">
        <v>165</v>
      </c>
      <c r="D43" s="3" t="s">
        <v>166</v>
      </c>
      <c r="E43" s="15">
        <v>0.54097222222222219</v>
      </c>
      <c r="F43" s="4">
        <v>40</v>
      </c>
    </row>
    <row r="44" spans="1:6" x14ac:dyDescent="0.3">
      <c r="A44" s="3">
        <v>41</v>
      </c>
      <c r="B44" s="4" t="s">
        <v>114</v>
      </c>
      <c r="C44" s="5" t="s">
        <v>145</v>
      </c>
      <c r="D44" s="5" t="s">
        <v>146</v>
      </c>
      <c r="E44" s="15">
        <v>0.54097222222222219</v>
      </c>
      <c r="F44" s="4">
        <v>41</v>
      </c>
    </row>
    <row r="45" spans="1:6" x14ac:dyDescent="0.3">
      <c r="A45" s="3">
        <v>42</v>
      </c>
      <c r="B45" s="4" t="s">
        <v>114</v>
      </c>
      <c r="C45" s="5" t="s">
        <v>169</v>
      </c>
      <c r="D45" s="5" t="s">
        <v>170</v>
      </c>
      <c r="E45" s="15">
        <v>0.54097222222222219</v>
      </c>
      <c r="F45" s="4">
        <v>42</v>
      </c>
    </row>
    <row r="46" spans="1:6" x14ac:dyDescent="0.3">
      <c r="A46" s="3">
        <v>43</v>
      </c>
      <c r="B46" s="4" t="s">
        <v>114</v>
      </c>
      <c r="C46" s="5" t="s">
        <v>167</v>
      </c>
      <c r="D46" s="3" t="s">
        <v>168</v>
      </c>
      <c r="E46" s="15">
        <v>0.54097222222222219</v>
      </c>
      <c r="F46" s="34">
        <v>49</v>
      </c>
    </row>
    <row r="47" spans="1:6" x14ac:dyDescent="0.3">
      <c r="A47" s="3">
        <v>44</v>
      </c>
      <c r="B47" s="4" t="s">
        <v>114</v>
      </c>
      <c r="C47" s="8" t="s">
        <v>131</v>
      </c>
      <c r="D47" s="3" t="s">
        <v>132</v>
      </c>
      <c r="E47" s="15">
        <v>0.54097222222222219</v>
      </c>
      <c r="F47" s="33" t="s">
        <v>54</v>
      </c>
    </row>
    <row r="48" spans="1:6" x14ac:dyDescent="0.3">
      <c r="A48" s="3">
        <v>45</v>
      </c>
      <c r="B48" s="4" t="s">
        <v>114</v>
      </c>
      <c r="C48" s="5" t="s">
        <v>141</v>
      </c>
      <c r="D48" s="3" t="s">
        <v>142</v>
      </c>
      <c r="E48" s="15">
        <v>0.54097222222222219</v>
      </c>
      <c r="F48" s="33" t="s">
        <v>54</v>
      </c>
    </row>
    <row r="49" spans="1:6" x14ac:dyDescent="0.3">
      <c r="A49" s="3">
        <v>46</v>
      </c>
      <c r="B49" s="6" t="s">
        <v>114</v>
      </c>
      <c r="C49" s="5" t="s">
        <v>134</v>
      </c>
      <c r="D49" s="5" t="s">
        <v>3</v>
      </c>
      <c r="E49" s="15">
        <v>0.54097222222222219</v>
      </c>
      <c r="F49" s="33" t="s">
        <v>54</v>
      </c>
    </row>
    <row r="50" spans="1:6" x14ac:dyDescent="0.3">
      <c r="A50" s="3">
        <v>47</v>
      </c>
      <c r="B50" s="4" t="s">
        <v>114</v>
      </c>
      <c r="C50" s="8" t="s">
        <v>115</v>
      </c>
      <c r="D50" s="5" t="s">
        <v>116</v>
      </c>
      <c r="E50" s="15">
        <v>0.54097222222222219</v>
      </c>
      <c r="F50" s="33" t="s">
        <v>54</v>
      </c>
    </row>
    <row r="51" spans="1:6" x14ac:dyDescent="0.3">
      <c r="A51" s="3">
        <v>48</v>
      </c>
      <c r="B51" s="4" t="s">
        <v>114</v>
      </c>
      <c r="C51" s="5" t="s">
        <v>192</v>
      </c>
      <c r="D51" s="3" t="s">
        <v>178</v>
      </c>
      <c r="E51" s="15">
        <v>0.54097222222222219</v>
      </c>
      <c r="F51" s="33" t="s">
        <v>54</v>
      </c>
    </row>
    <row r="54" spans="1:6" ht="19.8" x14ac:dyDescent="0.3">
      <c r="A54" s="44" t="s">
        <v>58</v>
      </c>
      <c r="B54" s="44"/>
      <c r="C54" s="44"/>
      <c r="D54" s="44"/>
      <c r="E54" s="44"/>
      <c r="F54" s="44"/>
    </row>
    <row r="55" spans="1:6" ht="19.8" x14ac:dyDescent="0.3">
      <c r="A55" s="44" t="s">
        <v>52</v>
      </c>
      <c r="B55" s="44"/>
      <c r="C55" s="44"/>
      <c r="D55" s="44"/>
      <c r="E55" s="44"/>
      <c r="F55" s="44"/>
    </row>
    <row r="56" spans="1:6" x14ac:dyDescent="0.3">
      <c r="A56" s="12"/>
      <c r="B56" s="13" t="s">
        <v>16</v>
      </c>
      <c r="C56" s="13" t="s">
        <v>17</v>
      </c>
      <c r="D56" s="12" t="s">
        <v>18</v>
      </c>
      <c r="E56" s="14" t="s">
        <v>39</v>
      </c>
      <c r="F56" s="14" t="s">
        <v>43</v>
      </c>
    </row>
    <row r="57" spans="1:6" x14ac:dyDescent="0.3">
      <c r="A57" s="3">
        <v>1</v>
      </c>
      <c r="B57" s="4" t="s">
        <v>114</v>
      </c>
      <c r="C57" s="5" t="s">
        <v>117</v>
      </c>
      <c r="D57" s="5" t="s">
        <v>10</v>
      </c>
      <c r="E57" s="15">
        <v>0.59166666666666667</v>
      </c>
      <c r="F57" s="4">
        <v>1</v>
      </c>
    </row>
    <row r="58" spans="1:6" x14ac:dyDescent="0.3">
      <c r="A58" s="3">
        <v>2</v>
      </c>
      <c r="B58" s="4" t="s">
        <v>114</v>
      </c>
      <c r="C58" s="5" t="s">
        <v>11</v>
      </c>
      <c r="D58" s="5" t="s">
        <v>12</v>
      </c>
      <c r="E58" s="15">
        <v>0.59166666666666667</v>
      </c>
      <c r="F58" s="4">
        <v>2</v>
      </c>
    </row>
    <row r="59" spans="1:6" x14ac:dyDescent="0.3">
      <c r="A59" s="3">
        <v>3</v>
      </c>
      <c r="B59" s="4" t="s">
        <v>114</v>
      </c>
      <c r="C59" s="5" t="s">
        <v>19</v>
      </c>
      <c r="D59" s="5" t="s">
        <v>155</v>
      </c>
      <c r="E59" s="15">
        <v>0.59166666666666667</v>
      </c>
      <c r="F59" s="4">
        <v>3</v>
      </c>
    </row>
    <row r="60" spans="1:6" x14ac:dyDescent="0.3">
      <c r="A60" s="3">
        <v>4</v>
      </c>
      <c r="B60" s="6" t="s">
        <v>114</v>
      </c>
      <c r="C60" s="5" t="s">
        <v>35</v>
      </c>
      <c r="D60" s="3" t="s">
        <v>36</v>
      </c>
      <c r="E60" s="15">
        <v>0.59166666666666667</v>
      </c>
      <c r="F60" s="4">
        <v>4</v>
      </c>
    </row>
    <row r="61" spans="1:6" x14ac:dyDescent="0.3">
      <c r="A61" s="3">
        <v>5</v>
      </c>
      <c r="B61" s="6" t="s">
        <v>114</v>
      </c>
      <c r="C61" s="5" t="s">
        <v>151</v>
      </c>
      <c r="D61" s="5" t="s">
        <v>37</v>
      </c>
      <c r="E61" s="15">
        <v>0.59166666666666667</v>
      </c>
      <c r="F61" s="4">
        <v>5</v>
      </c>
    </row>
    <row r="62" spans="1:6" x14ac:dyDescent="0.3">
      <c r="A62" s="3">
        <v>6</v>
      </c>
      <c r="B62" s="4" t="s">
        <v>114</v>
      </c>
      <c r="C62" s="5" t="s">
        <v>175</v>
      </c>
      <c r="D62" s="5" t="s">
        <v>176</v>
      </c>
      <c r="E62" s="15">
        <v>0.59166666666666667</v>
      </c>
      <c r="F62" s="4">
        <v>6</v>
      </c>
    </row>
    <row r="63" spans="1:6" x14ac:dyDescent="0.3">
      <c r="A63" s="3">
        <v>7</v>
      </c>
      <c r="B63" s="6" t="s">
        <v>114</v>
      </c>
      <c r="C63" s="10" t="s">
        <v>179</v>
      </c>
      <c r="D63" s="10" t="s">
        <v>180</v>
      </c>
      <c r="E63" s="15">
        <v>0.59166666666666667</v>
      </c>
      <c r="F63" s="4">
        <v>7</v>
      </c>
    </row>
    <row r="64" spans="1:6" x14ac:dyDescent="0.3">
      <c r="A64" s="3">
        <v>8</v>
      </c>
      <c r="B64" s="6" t="s">
        <v>114</v>
      </c>
      <c r="C64" s="5" t="s">
        <v>171</v>
      </c>
      <c r="D64" s="5" t="s">
        <v>172</v>
      </c>
      <c r="E64" s="15">
        <v>0.59166666666666667</v>
      </c>
      <c r="F64" s="4">
        <v>8</v>
      </c>
    </row>
    <row r="65" spans="1:6" x14ac:dyDescent="0.3">
      <c r="A65" s="3">
        <v>9</v>
      </c>
      <c r="B65" s="6" t="s">
        <v>114</v>
      </c>
      <c r="C65" s="5" t="s">
        <v>21</v>
      </c>
      <c r="D65" s="3" t="s">
        <v>22</v>
      </c>
      <c r="E65" s="15">
        <v>0.59166666666666667</v>
      </c>
      <c r="F65" s="4">
        <v>9</v>
      </c>
    </row>
    <row r="66" spans="1:6" x14ac:dyDescent="0.3">
      <c r="A66" s="3">
        <v>10</v>
      </c>
      <c r="B66" s="6" t="s">
        <v>114</v>
      </c>
      <c r="C66" s="5" t="s">
        <v>161</v>
      </c>
      <c r="D66" s="5" t="s">
        <v>6</v>
      </c>
      <c r="E66" s="15">
        <v>0.59166666666666667</v>
      </c>
      <c r="F66" s="4">
        <v>10</v>
      </c>
    </row>
    <row r="67" spans="1:6" x14ac:dyDescent="0.3">
      <c r="A67" s="3">
        <v>11</v>
      </c>
      <c r="B67" s="6" t="s">
        <v>114</v>
      </c>
      <c r="C67" s="5" t="s">
        <v>139</v>
      </c>
      <c r="D67" s="5" t="s">
        <v>140</v>
      </c>
      <c r="E67" s="15">
        <v>0.59166666666666667</v>
      </c>
      <c r="F67" s="4">
        <v>11</v>
      </c>
    </row>
    <row r="68" spans="1:6" x14ac:dyDescent="0.3">
      <c r="A68" s="3">
        <v>12</v>
      </c>
      <c r="B68" s="6" t="s">
        <v>114</v>
      </c>
      <c r="C68" s="5" t="s">
        <v>162</v>
      </c>
      <c r="D68" s="5" t="s">
        <v>163</v>
      </c>
      <c r="E68" s="15">
        <v>0.59166666666666667</v>
      </c>
      <c r="F68" s="4">
        <v>12</v>
      </c>
    </row>
    <row r="69" spans="1:6" x14ac:dyDescent="0.3">
      <c r="A69" s="3">
        <v>13</v>
      </c>
      <c r="B69" s="4" t="s">
        <v>114</v>
      </c>
      <c r="C69" s="5" t="s">
        <v>137</v>
      </c>
      <c r="D69" s="3" t="s">
        <v>138</v>
      </c>
      <c r="E69" s="15">
        <v>0.59166666666666667</v>
      </c>
      <c r="F69" s="4">
        <v>13</v>
      </c>
    </row>
    <row r="70" spans="1:6" x14ac:dyDescent="0.3">
      <c r="A70" s="3">
        <v>14</v>
      </c>
      <c r="B70" s="6" t="s">
        <v>114</v>
      </c>
      <c r="C70" s="5" t="s">
        <v>121</v>
      </c>
      <c r="D70" s="5" t="s">
        <v>33</v>
      </c>
      <c r="E70" s="15">
        <v>0.59166666666666667</v>
      </c>
      <c r="F70" s="4">
        <v>14</v>
      </c>
    </row>
    <row r="71" spans="1:6" x14ac:dyDescent="0.3">
      <c r="A71" s="3">
        <v>15</v>
      </c>
      <c r="B71" s="6" t="s">
        <v>114</v>
      </c>
      <c r="C71" s="5" t="s">
        <v>159</v>
      </c>
      <c r="D71" s="5" t="s">
        <v>4</v>
      </c>
      <c r="E71" s="15">
        <v>0.59166666666666667</v>
      </c>
      <c r="F71" s="4">
        <v>15</v>
      </c>
    </row>
    <row r="72" spans="1:6" x14ac:dyDescent="0.3">
      <c r="A72" s="3">
        <v>16</v>
      </c>
      <c r="B72" s="4" t="s">
        <v>114</v>
      </c>
      <c r="C72" s="5" t="s">
        <v>164</v>
      </c>
      <c r="D72" s="3" t="s">
        <v>27</v>
      </c>
      <c r="E72" s="15">
        <v>0.59166666666666667</v>
      </c>
      <c r="F72" s="4">
        <v>16</v>
      </c>
    </row>
    <row r="73" spans="1:6" x14ac:dyDescent="0.3">
      <c r="A73" s="3">
        <v>17</v>
      </c>
      <c r="B73" s="4" t="s">
        <v>114</v>
      </c>
      <c r="C73" s="5" t="s">
        <v>152</v>
      </c>
      <c r="D73" s="5" t="s">
        <v>20</v>
      </c>
      <c r="E73" s="15">
        <v>0.59166666666666667</v>
      </c>
      <c r="F73" s="4">
        <v>17</v>
      </c>
    </row>
    <row r="74" spans="1:6" x14ac:dyDescent="0.3">
      <c r="A74" s="3">
        <v>18</v>
      </c>
      <c r="B74" s="4" t="s">
        <v>114</v>
      </c>
      <c r="C74" s="5" t="s">
        <v>0</v>
      </c>
      <c r="D74" s="5" t="s">
        <v>1</v>
      </c>
      <c r="E74" s="15">
        <v>0.59166666666666667</v>
      </c>
      <c r="F74" s="4">
        <v>18</v>
      </c>
    </row>
    <row r="75" spans="1:6" x14ac:dyDescent="0.3">
      <c r="A75" s="3">
        <v>19</v>
      </c>
      <c r="B75" s="4" t="s">
        <v>114</v>
      </c>
      <c r="C75" s="5" t="s">
        <v>15</v>
      </c>
      <c r="D75" s="5" t="s">
        <v>177</v>
      </c>
      <c r="E75" s="15">
        <v>0.59166666666666667</v>
      </c>
      <c r="F75" s="4">
        <v>19</v>
      </c>
    </row>
    <row r="76" spans="1:6" x14ac:dyDescent="0.3">
      <c r="A76" s="3">
        <v>20</v>
      </c>
      <c r="B76" s="4" t="s">
        <v>114</v>
      </c>
      <c r="C76" s="5" t="s">
        <v>122</v>
      </c>
      <c r="D76" s="5" t="s">
        <v>123</v>
      </c>
      <c r="E76" s="15">
        <v>0.59166666666666667</v>
      </c>
      <c r="F76" s="4">
        <v>20</v>
      </c>
    </row>
    <row r="77" spans="1:6" x14ac:dyDescent="0.3">
      <c r="A77" s="3">
        <v>21</v>
      </c>
      <c r="B77" s="4" t="s">
        <v>114</v>
      </c>
      <c r="C77" s="5" t="s">
        <v>160</v>
      </c>
      <c r="D77" s="5" t="s">
        <v>7</v>
      </c>
      <c r="E77" s="15">
        <v>0.59166666666666667</v>
      </c>
      <c r="F77" s="4">
        <v>21</v>
      </c>
    </row>
    <row r="78" spans="1:6" x14ac:dyDescent="0.3">
      <c r="A78" s="3">
        <v>22</v>
      </c>
      <c r="B78" s="4" t="s">
        <v>114</v>
      </c>
      <c r="C78" s="5" t="s">
        <v>25</v>
      </c>
      <c r="D78" s="3" t="s">
        <v>26</v>
      </c>
      <c r="E78" s="15">
        <v>0.59166666666666667</v>
      </c>
      <c r="F78" s="4">
        <v>22</v>
      </c>
    </row>
    <row r="79" spans="1:6" x14ac:dyDescent="0.3">
      <c r="A79" s="3">
        <v>23</v>
      </c>
      <c r="B79" s="6" t="s">
        <v>114</v>
      </c>
      <c r="C79" s="5" t="s">
        <v>133</v>
      </c>
      <c r="D79" s="5" t="s">
        <v>5</v>
      </c>
      <c r="E79" s="15">
        <v>0.59166666666666667</v>
      </c>
      <c r="F79" s="4">
        <v>23</v>
      </c>
    </row>
    <row r="80" spans="1:6" x14ac:dyDescent="0.3">
      <c r="A80" s="3">
        <v>24</v>
      </c>
      <c r="B80" s="6" t="s">
        <v>114</v>
      </c>
      <c r="C80" s="5" t="s">
        <v>165</v>
      </c>
      <c r="D80" s="3" t="s">
        <v>166</v>
      </c>
      <c r="E80" s="15">
        <v>0.59166666666666667</v>
      </c>
      <c r="F80" s="4">
        <v>24</v>
      </c>
    </row>
    <row r="81" spans="1:6" x14ac:dyDescent="0.3">
      <c r="A81" s="3">
        <v>25</v>
      </c>
      <c r="B81" s="4" t="s">
        <v>114</v>
      </c>
      <c r="C81" s="5" t="s">
        <v>8</v>
      </c>
      <c r="D81" s="3" t="s">
        <v>9</v>
      </c>
      <c r="E81" s="15">
        <v>0.59166666666666667</v>
      </c>
      <c r="F81" s="4">
        <v>25</v>
      </c>
    </row>
    <row r="82" spans="1:6" x14ac:dyDescent="0.3">
      <c r="A82" s="3">
        <v>26</v>
      </c>
      <c r="B82" s="4" t="s">
        <v>114</v>
      </c>
      <c r="C82" s="5" t="s">
        <v>156</v>
      </c>
      <c r="D82" s="5" t="s">
        <v>28</v>
      </c>
      <c r="E82" s="15">
        <v>0.59166666666666667</v>
      </c>
      <c r="F82" s="4">
        <v>26</v>
      </c>
    </row>
    <row r="83" spans="1:6" x14ac:dyDescent="0.3">
      <c r="A83" s="3">
        <v>27</v>
      </c>
      <c r="B83" s="4" t="s">
        <v>114</v>
      </c>
      <c r="C83" s="5" t="s">
        <v>13</v>
      </c>
      <c r="D83" s="5" t="s">
        <v>14</v>
      </c>
      <c r="E83" s="15">
        <v>0.59166666666666667</v>
      </c>
      <c r="F83" s="4">
        <v>27</v>
      </c>
    </row>
    <row r="84" spans="1:6" x14ac:dyDescent="0.3">
      <c r="A84" s="3">
        <v>28</v>
      </c>
      <c r="B84" s="4" t="s">
        <v>114</v>
      </c>
      <c r="C84" s="3" t="s">
        <v>173</v>
      </c>
      <c r="D84" s="3" t="s">
        <v>174</v>
      </c>
      <c r="E84" s="15">
        <v>0.59166666666666667</v>
      </c>
      <c r="F84" s="4">
        <v>28</v>
      </c>
    </row>
    <row r="85" spans="1:6" x14ac:dyDescent="0.3">
      <c r="A85" s="3">
        <v>29</v>
      </c>
      <c r="B85" s="4" t="s">
        <v>114</v>
      </c>
      <c r="C85" s="5" t="s">
        <v>157</v>
      </c>
      <c r="D85" s="5" t="s">
        <v>158</v>
      </c>
      <c r="E85" s="15">
        <v>0.59166666666666667</v>
      </c>
      <c r="F85" s="4">
        <v>29</v>
      </c>
    </row>
    <row r="86" spans="1:6" x14ac:dyDescent="0.3">
      <c r="A86" s="3">
        <v>30</v>
      </c>
      <c r="B86" s="4" t="s">
        <v>114</v>
      </c>
      <c r="C86" s="5" t="s">
        <v>135</v>
      </c>
      <c r="D86" s="3" t="s">
        <v>136</v>
      </c>
      <c r="E86" s="15">
        <v>0.59166666666666667</v>
      </c>
      <c r="F86" s="4">
        <v>30</v>
      </c>
    </row>
    <row r="87" spans="1:6" x14ac:dyDescent="0.3">
      <c r="A87" s="3">
        <v>31</v>
      </c>
      <c r="B87" s="4" t="s">
        <v>114</v>
      </c>
      <c r="C87" s="5" t="s">
        <v>153</v>
      </c>
      <c r="D87" s="5" t="s">
        <v>154</v>
      </c>
      <c r="E87" s="15">
        <v>0.59166666666666667</v>
      </c>
      <c r="F87" s="4">
        <v>31</v>
      </c>
    </row>
    <row r="88" spans="1:6" x14ac:dyDescent="0.3">
      <c r="A88" s="3">
        <v>32</v>
      </c>
      <c r="B88" s="4" t="s">
        <v>114</v>
      </c>
      <c r="C88" s="5" t="s">
        <v>124</v>
      </c>
      <c r="D88" s="5" t="s">
        <v>125</v>
      </c>
      <c r="E88" s="15">
        <v>0.59166666666666667</v>
      </c>
      <c r="F88" s="4">
        <v>32</v>
      </c>
    </row>
    <row r="89" spans="1:6" x14ac:dyDescent="0.3">
      <c r="A89" s="3">
        <v>33</v>
      </c>
      <c r="B89" s="4" t="s">
        <v>114</v>
      </c>
      <c r="C89" s="5" t="s">
        <v>119</v>
      </c>
      <c r="D89" s="5" t="s">
        <v>120</v>
      </c>
      <c r="E89" s="15">
        <v>0.59166666666666667</v>
      </c>
      <c r="F89" s="4">
        <v>33</v>
      </c>
    </row>
    <row r="90" spans="1:6" x14ac:dyDescent="0.3">
      <c r="A90" s="3">
        <v>34</v>
      </c>
      <c r="B90" s="4" t="s">
        <v>114</v>
      </c>
      <c r="C90" s="5" t="s">
        <v>167</v>
      </c>
      <c r="D90" s="3" t="s">
        <v>168</v>
      </c>
      <c r="E90" s="15">
        <v>0.59166666666666667</v>
      </c>
      <c r="F90" s="4">
        <v>34</v>
      </c>
    </row>
    <row r="91" spans="1:6" x14ac:dyDescent="0.3">
      <c r="A91" s="3">
        <v>35</v>
      </c>
      <c r="B91" s="4" t="s">
        <v>114</v>
      </c>
      <c r="C91" s="5" t="s">
        <v>126</v>
      </c>
      <c r="D91" s="3" t="s">
        <v>34</v>
      </c>
      <c r="E91" s="15">
        <v>0.59166666666666667</v>
      </c>
      <c r="F91" s="4">
        <v>35</v>
      </c>
    </row>
    <row r="92" spans="1:6" x14ac:dyDescent="0.3">
      <c r="A92" s="3">
        <v>36</v>
      </c>
      <c r="B92" s="4" t="s">
        <v>114</v>
      </c>
      <c r="C92" s="5" t="s">
        <v>32</v>
      </c>
      <c r="D92" s="5" t="s">
        <v>118</v>
      </c>
      <c r="E92" s="15">
        <v>0.59166666666666667</v>
      </c>
      <c r="F92" s="4">
        <v>36</v>
      </c>
    </row>
    <row r="93" spans="1:6" x14ac:dyDescent="0.3">
      <c r="A93" s="3">
        <v>37</v>
      </c>
      <c r="B93" s="4" t="s">
        <v>114</v>
      </c>
      <c r="C93" s="8" t="s">
        <v>127</v>
      </c>
      <c r="D93" s="5" t="s">
        <v>128</v>
      </c>
      <c r="E93" s="15">
        <v>0.59166666666666667</v>
      </c>
      <c r="F93" s="4">
        <v>37</v>
      </c>
    </row>
    <row r="94" spans="1:6" x14ac:dyDescent="0.3">
      <c r="A94" s="3">
        <v>38</v>
      </c>
      <c r="B94" s="4" t="s">
        <v>114</v>
      </c>
      <c r="C94" s="5" t="s">
        <v>145</v>
      </c>
      <c r="D94" s="5" t="s">
        <v>146</v>
      </c>
      <c r="E94" s="15">
        <v>0.59166666666666667</v>
      </c>
      <c r="F94" s="4">
        <v>38</v>
      </c>
    </row>
    <row r="95" spans="1:6" x14ac:dyDescent="0.3">
      <c r="A95" s="3">
        <v>39</v>
      </c>
      <c r="B95" s="4" t="s">
        <v>114</v>
      </c>
      <c r="C95" s="5" t="s">
        <v>149</v>
      </c>
      <c r="D95" s="5" t="s">
        <v>150</v>
      </c>
      <c r="E95" s="15">
        <v>0.59166666666666667</v>
      </c>
      <c r="F95" s="4">
        <v>39</v>
      </c>
    </row>
    <row r="96" spans="1:6" x14ac:dyDescent="0.3">
      <c r="A96" s="3">
        <v>40</v>
      </c>
      <c r="B96" s="4" t="s">
        <v>114</v>
      </c>
      <c r="C96" s="3" t="s">
        <v>143</v>
      </c>
      <c r="D96" s="3" t="s">
        <v>144</v>
      </c>
      <c r="E96" s="15">
        <v>0.59166666666666667</v>
      </c>
      <c r="F96" s="4">
        <v>40</v>
      </c>
    </row>
    <row r="97" spans="1:7" x14ac:dyDescent="0.3">
      <c r="A97" s="3">
        <v>41</v>
      </c>
      <c r="B97" s="4" t="s">
        <v>114</v>
      </c>
      <c r="C97" s="5" t="s">
        <v>129</v>
      </c>
      <c r="D97" s="3" t="s">
        <v>130</v>
      </c>
      <c r="E97" s="15">
        <v>0.59166666666666667</v>
      </c>
      <c r="F97" s="4">
        <v>41</v>
      </c>
    </row>
    <row r="98" spans="1:7" x14ac:dyDescent="0.3">
      <c r="A98" s="3">
        <v>42</v>
      </c>
      <c r="B98" s="4" t="s">
        <v>114</v>
      </c>
      <c r="C98" s="5" t="s">
        <v>169</v>
      </c>
      <c r="D98" s="5" t="s">
        <v>170</v>
      </c>
      <c r="E98" s="15">
        <v>0.59166666666666667</v>
      </c>
      <c r="F98" s="4">
        <v>42</v>
      </c>
    </row>
    <row r="99" spans="1:7" x14ac:dyDescent="0.3">
      <c r="A99" s="3">
        <v>43</v>
      </c>
      <c r="B99" s="4" t="s">
        <v>114</v>
      </c>
      <c r="C99" s="5" t="s">
        <v>147</v>
      </c>
      <c r="D99" s="5" t="s">
        <v>148</v>
      </c>
      <c r="E99" s="15">
        <v>0.59166666666666667</v>
      </c>
      <c r="F99" s="37">
        <v>43</v>
      </c>
    </row>
    <row r="100" spans="1:7" x14ac:dyDescent="0.3">
      <c r="A100" s="3">
        <v>44</v>
      </c>
      <c r="B100" s="4" t="s">
        <v>114</v>
      </c>
      <c r="C100" s="8" t="s">
        <v>131</v>
      </c>
      <c r="D100" s="3" t="s">
        <v>132</v>
      </c>
      <c r="E100" s="15">
        <v>0.59166666666666667</v>
      </c>
      <c r="F100" s="33" t="s">
        <v>54</v>
      </c>
    </row>
    <row r="101" spans="1:7" x14ac:dyDescent="0.3">
      <c r="A101" s="3">
        <v>45</v>
      </c>
      <c r="B101" s="4" t="s">
        <v>114</v>
      </c>
      <c r="C101" s="5" t="s">
        <v>141</v>
      </c>
      <c r="D101" s="3" t="s">
        <v>142</v>
      </c>
      <c r="E101" s="15">
        <v>0.59166666666666667</v>
      </c>
      <c r="F101" s="33" t="s">
        <v>54</v>
      </c>
    </row>
    <row r="102" spans="1:7" x14ac:dyDescent="0.3">
      <c r="A102" s="3">
        <v>46</v>
      </c>
      <c r="B102" s="4" t="s">
        <v>114</v>
      </c>
      <c r="C102" s="5" t="s">
        <v>134</v>
      </c>
      <c r="D102" s="5" t="s">
        <v>3</v>
      </c>
      <c r="E102" s="15">
        <v>0.59166666666666667</v>
      </c>
      <c r="F102" s="33" t="s">
        <v>54</v>
      </c>
    </row>
    <row r="103" spans="1:7" x14ac:dyDescent="0.3">
      <c r="A103" s="3">
        <v>47</v>
      </c>
      <c r="B103" s="4" t="s">
        <v>114</v>
      </c>
      <c r="C103" s="8" t="s">
        <v>115</v>
      </c>
      <c r="D103" s="5" t="s">
        <v>116</v>
      </c>
      <c r="E103" s="15">
        <v>0.59166666666666667</v>
      </c>
      <c r="F103" s="33" t="s">
        <v>54</v>
      </c>
    </row>
    <row r="104" spans="1:7" x14ac:dyDescent="0.3">
      <c r="A104" s="3">
        <v>48</v>
      </c>
      <c r="B104" s="4" t="s">
        <v>114</v>
      </c>
      <c r="C104" s="5" t="s">
        <v>192</v>
      </c>
      <c r="D104" s="3" t="s">
        <v>178</v>
      </c>
      <c r="E104" s="15">
        <v>0.59166666666666667</v>
      </c>
      <c r="F104" s="33" t="s">
        <v>54</v>
      </c>
    </row>
    <row r="107" spans="1:7" ht="25.8" x14ac:dyDescent="0.3">
      <c r="A107" s="45" t="s">
        <v>48</v>
      </c>
      <c r="B107" s="45"/>
      <c r="C107" s="45"/>
      <c r="D107" s="45"/>
      <c r="E107" s="45"/>
      <c r="F107" s="45"/>
      <c r="G107" s="45"/>
    </row>
    <row r="108" spans="1:7" ht="25.8" x14ac:dyDescent="0.3">
      <c r="A108" s="43" t="s">
        <v>53</v>
      </c>
      <c r="B108" s="43"/>
      <c r="C108" s="43"/>
      <c r="D108" s="43"/>
      <c r="E108" s="43"/>
      <c r="F108" s="43"/>
      <c r="G108" s="43"/>
    </row>
    <row r="109" spans="1:7" x14ac:dyDescent="0.3">
      <c r="A109" s="16"/>
      <c r="B109" s="17" t="s">
        <v>16</v>
      </c>
      <c r="C109" s="17" t="s">
        <v>17</v>
      </c>
      <c r="D109" s="16" t="s">
        <v>18</v>
      </c>
      <c r="E109" s="18" t="s">
        <v>44</v>
      </c>
      <c r="F109" s="18" t="s">
        <v>45</v>
      </c>
      <c r="G109" s="18" t="s">
        <v>47</v>
      </c>
    </row>
    <row r="110" spans="1:7" x14ac:dyDescent="0.3">
      <c r="A110" s="3">
        <v>1</v>
      </c>
      <c r="B110" s="5" t="s">
        <v>51</v>
      </c>
      <c r="C110" s="5" t="s">
        <v>11</v>
      </c>
      <c r="D110" s="5" t="s">
        <v>12</v>
      </c>
      <c r="E110" s="4">
        <v>2</v>
      </c>
      <c r="F110" s="4">
        <v>2</v>
      </c>
      <c r="G110" s="24">
        <f t="shared" ref="G110:G157" si="0">SUM(E110:F110)</f>
        <v>4</v>
      </c>
    </row>
    <row r="111" spans="1:7" x14ac:dyDescent="0.3">
      <c r="A111" s="3">
        <v>2</v>
      </c>
      <c r="B111" s="5" t="s">
        <v>51</v>
      </c>
      <c r="C111" s="5" t="s">
        <v>117</v>
      </c>
      <c r="D111" s="5" t="s">
        <v>10</v>
      </c>
      <c r="E111" s="4">
        <v>4</v>
      </c>
      <c r="F111" s="24">
        <v>1</v>
      </c>
      <c r="G111" s="24">
        <f t="shared" si="0"/>
        <v>5</v>
      </c>
    </row>
    <row r="112" spans="1:7" x14ac:dyDescent="0.3">
      <c r="A112" s="3">
        <v>3</v>
      </c>
      <c r="B112" s="5" t="s">
        <v>51</v>
      </c>
      <c r="C112" s="10" t="s">
        <v>179</v>
      </c>
      <c r="D112" s="10" t="s">
        <v>180</v>
      </c>
      <c r="E112" s="4">
        <v>1</v>
      </c>
      <c r="F112" s="24">
        <v>7</v>
      </c>
      <c r="G112" s="24">
        <f t="shared" si="0"/>
        <v>8</v>
      </c>
    </row>
    <row r="113" spans="1:7" x14ac:dyDescent="0.3">
      <c r="A113" s="3">
        <v>4</v>
      </c>
      <c r="B113" s="5" t="s">
        <v>51</v>
      </c>
      <c r="C113" s="5" t="s">
        <v>151</v>
      </c>
      <c r="D113" s="5" t="s">
        <v>37</v>
      </c>
      <c r="E113" s="4">
        <v>3</v>
      </c>
      <c r="F113" s="4">
        <v>5</v>
      </c>
      <c r="G113" s="24">
        <f t="shared" si="0"/>
        <v>8</v>
      </c>
    </row>
    <row r="114" spans="1:7" x14ac:dyDescent="0.3">
      <c r="A114" s="3">
        <v>5</v>
      </c>
      <c r="B114" s="5" t="s">
        <v>51</v>
      </c>
      <c r="C114" s="5" t="s">
        <v>35</v>
      </c>
      <c r="D114" s="3" t="s">
        <v>36</v>
      </c>
      <c r="E114" s="4">
        <v>6</v>
      </c>
      <c r="F114" s="24">
        <v>4</v>
      </c>
      <c r="G114" s="24">
        <f t="shared" si="0"/>
        <v>10</v>
      </c>
    </row>
    <row r="115" spans="1:7" x14ac:dyDescent="0.3">
      <c r="A115" s="3">
        <v>6</v>
      </c>
      <c r="B115" s="5" t="s">
        <v>51</v>
      </c>
      <c r="C115" s="5" t="s">
        <v>21</v>
      </c>
      <c r="D115" s="3" t="s">
        <v>22</v>
      </c>
      <c r="E115" s="4">
        <v>5</v>
      </c>
      <c r="F115" s="24">
        <v>9</v>
      </c>
      <c r="G115" s="24">
        <f t="shared" si="0"/>
        <v>14</v>
      </c>
    </row>
    <row r="116" spans="1:7" x14ac:dyDescent="0.3">
      <c r="A116" s="3">
        <v>7</v>
      </c>
      <c r="B116" s="5" t="s">
        <v>51</v>
      </c>
      <c r="C116" s="5" t="s">
        <v>171</v>
      </c>
      <c r="D116" s="5" t="s">
        <v>172</v>
      </c>
      <c r="E116" s="4">
        <v>7</v>
      </c>
      <c r="F116" s="24">
        <v>8</v>
      </c>
      <c r="G116" s="24">
        <f t="shared" si="0"/>
        <v>15</v>
      </c>
    </row>
    <row r="117" spans="1:7" x14ac:dyDescent="0.3">
      <c r="A117" s="3">
        <v>8</v>
      </c>
      <c r="B117" s="5" t="s">
        <v>51</v>
      </c>
      <c r="C117" s="5" t="s">
        <v>19</v>
      </c>
      <c r="D117" s="5" t="s">
        <v>155</v>
      </c>
      <c r="E117" s="4">
        <v>13</v>
      </c>
      <c r="F117" s="24">
        <v>3</v>
      </c>
      <c r="G117" s="24">
        <f t="shared" si="0"/>
        <v>16</v>
      </c>
    </row>
    <row r="118" spans="1:7" x14ac:dyDescent="0.3">
      <c r="A118" s="3">
        <v>9</v>
      </c>
      <c r="B118" s="9" t="s">
        <v>51</v>
      </c>
      <c r="C118" s="5" t="s">
        <v>139</v>
      </c>
      <c r="D118" s="5" t="s">
        <v>140</v>
      </c>
      <c r="E118" s="4">
        <v>9</v>
      </c>
      <c r="F118" s="24">
        <v>11</v>
      </c>
      <c r="G118" s="24">
        <f t="shared" si="0"/>
        <v>20</v>
      </c>
    </row>
    <row r="119" spans="1:7" x14ac:dyDescent="0.3">
      <c r="A119" s="3">
        <v>10</v>
      </c>
      <c r="B119" s="5" t="s">
        <v>51</v>
      </c>
      <c r="C119" s="5" t="s">
        <v>175</v>
      </c>
      <c r="D119" s="5" t="s">
        <v>176</v>
      </c>
      <c r="E119" s="4">
        <v>14</v>
      </c>
      <c r="F119" s="29">
        <v>6</v>
      </c>
      <c r="G119" s="24">
        <f t="shared" si="0"/>
        <v>20</v>
      </c>
    </row>
    <row r="120" spans="1:7" x14ac:dyDescent="0.3">
      <c r="A120" s="3">
        <v>11</v>
      </c>
      <c r="B120" s="9" t="s">
        <v>51</v>
      </c>
      <c r="C120" s="5" t="s">
        <v>164</v>
      </c>
      <c r="D120" s="3" t="s">
        <v>27</v>
      </c>
      <c r="E120" s="4">
        <v>8</v>
      </c>
      <c r="F120" s="24">
        <v>16</v>
      </c>
      <c r="G120" s="24">
        <f t="shared" si="0"/>
        <v>24</v>
      </c>
    </row>
    <row r="121" spans="1:7" x14ac:dyDescent="0.3">
      <c r="A121" s="3">
        <v>12</v>
      </c>
      <c r="B121" s="5" t="s">
        <v>51</v>
      </c>
      <c r="C121" s="5" t="s">
        <v>137</v>
      </c>
      <c r="D121" s="3" t="s">
        <v>138</v>
      </c>
      <c r="E121" s="4">
        <v>11</v>
      </c>
      <c r="F121" s="24">
        <v>13</v>
      </c>
      <c r="G121" s="24">
        <f t="shared" si="0"/>
        <v>24</v>
      </c>
    </row>
    <row r="122" spans="1:7" x14ac:dyDescent="0.3">
      <c r="A122" s="3">
        <v>13</v>
      </c>
      <c r="B122" s="5" t="s">
        <v>51</v>
      </c>
      <c r="C122" s="5" t="s">
        <v>159</v>
      </c>
      <c r="D122" s="5" t="s">
        <v>4</v>
      </c>
      <c r="E122" s="4">
        <v>10</v>
      </c>
      <c r="F122" s="24">
        <v>15</v>
      </c>
      <c r="G122" s="24">
        <f t="shared" si="0"/>
        <v>25</v>
      </c>
    </row>
    <row r="123" spans="1:7" x14ac:dyDescent="0.3">
      <c r="A123" s="3">
        <v>14</v>
      </c>
      <c r="B123" s="5" t="s">
        <v>51</v>
      </c>
      <c r="C123" s="5" t="s">
        <v>0</v>
      </c>
      <c r="D123" s="5" t="s">
        <v>1</v>
      </c>
      <c r="E123" s="4">
        <v>12</v>
      </c>
      <c r="F123" s="24">
        <v>18</v>
      </c>
      <c r="G123" s="24">
        <f t="shared" si="0"/>
        <v>30</v>
      </c>
    </row>
    <row r="124" spans="1:7" x14ac:dyDescent="0.3">
      <c r="A124" s="3">
        <v>15</v>
      </c>
      <c r="B124" s="5" t="s">
        <v>51</v>
      </c>
      <c r="C124" s="5" t="s">
        <v>162</v>
      </c>
      <c r="D124" s="5" t="s">
        <v>163</v>
      </c>
      <c r="E124" s="4">
        <v>18</v>
      </c>
      <c r="F124" s="29">
        <v>12</v>
      </c>
      <c r="G124" s="24">
        <f t="shared" si="0"/>
        <v>30</v>
      </c>
    </row>
    <row r="125" spans="1:7" x14ac:dyDescent="0.3">
      <c r="A125" s="3">
        <v>16</v>
      </c>
      <c r="B125" s="5" t="s">
        <v>51</v>
      </c>
      <c r="C125" s="5" t="s">
        <v>152</v>
      </c>
      <c r="D125" s="5" t="s">
        <v>20</v>
      </c>
      <c r="E125" s="4">
        <v>15</v>
      </c>
      <c r="F125" s="29">
        <v>17</v>
      </c>
      <c r="G125" s="24">
        <f t="shared" si="0"/>
        <v>32</v>
      </c>
    </row>
    <row r="126" spans="1:7" x14ac:dyDescent="0.3">
      <c r="A126" s="3">
        <v>17</v>
      </c>
      <c r="B126" s="3" t="s">
        <v>51</v>
      </c>
      <c r="C126" s="5" t="s">
        <v>121</v>
      </c>
      <c r="D126" s="5" t="s">
        <v>33</v>
      </c>
      <c r="E126" s="4">
        <v>24</v>
      </c>
      <c r="F126" s="29">
        <v>14</v>
      </c>
      <c r="G126" s="24">
        <f t="shared" si="0"/>
        <v>38</v>
      </c>
    </row>
    <row r="127" spans="1:7" x14ac:dyDescent="0.3">
      <c r="A127" s="3">
        <v>18</v>
      </c>
      <c r="B127" s="5" t="s">
        <v>51</v>
      </c>
      <c r="C127" s="5" t="s">
        <v>161</v>
      </c>
      <c r="D127" s="5" t="s">
        <v>6</v>
      </c>
      <c r="E127" s="4">
        <v>30</v>
      </c>
      <c r="F127" s="29">
        <v>10</v>
      </c>
      <c r="G127" s="24">
        <f t="shared" si="0"/>
        <v>40</v>
      </c>
    </row>
    <row r="128" spans="1:7" x14ac:dyDescent="0.3">
      <c r="A128" s="3">
        <v>19</v>
      </c>
      <c r="B128" s="9" t="s">
        <v>51</v>
      </c>
      <c r="C128" s="5" t="s">
        <v>122</v>
      </c>
      <c r="D128" s="5" t="s">
        <v>123</v>
      </c>
      <c r="E128" s="4">
        <v>21</v>
      </c>
      <c r="F128" s="29">
        <v>20</v>
      </c>
      <c r="G128" s="24">
        <f t="shared" si="0"/>
        <v>41</v>
      </c>
    </row>
    <row r="129" spans="1:7" x14ac:dyDescent="0.3">
      <c r="A129" s="3">
        <v>20</v>
      </c>
      <c r="B129" s="5" t="s">
        <v>51</v>
      </c>
      <c r="C129" s="5" t="s">
        <v>15</v>
      </c>
      <c r="D129" s="5" t="s">
        <v>177</v>
      </c>
      <c r="E129" s="4">
        <v>22</v>
      </c>
      <c r="F129" s="29">
        <v>19</v>
      </c>
      <c r="G129" s="24">
        <f t="shared" si="0"/>
        <v>41</v>
      </c>
    </row>
    <row r="130" spans="1:7" x14ac:dyDescent="0.3">
      <c r="A130" s="3">
        <v>21</v>
      </c>
      <c r="B130" s="5" t="s">
        <v>51</v>
      </c>
      <c r="C130" s="5" t="s">
        <v>133</v>
      </c>
      <c r="D130" s="5" t="s">
        <v>5</v>
      </c>
      <c r="E130" s="4">
        <v>20</v>
      </c>
      <c r="F130" s="6">
        <v>23</v>
      </c>
      <c r="G130" s="24">
        <f t="shared" si="0"/>
        <v>43</v>
      </c>
    </row>
    <row r="131" spans="1:7" x14ac:dyDescent="0.3">
      <c r="A131" s="3">
        <v>22</v>
      </c>
      <c r="B131" s="5" t="s">
        <v>51</v>
      </c>
      <c r="C131" s="3" t="s">
        <v>173</v>
      </c>
      <c r="D131" s="3" t="s">
        <v>174</v>
      </c>
      <c r="E131" s="4">
        <v>17</v>
      </c>
      <c r="F131" s="29">
        <v>28</v>
      </c>
      <c r="G131" s="24">
        <f t="shared" si="0"/>
        <v>45</v>
      </c>
    </row>
    <row r="132" spans="1:7" x14ac:dyDescent="0.3">
      <c r="A132" s="3">
        <v>23</v>
      </c>
      <c r="B132" s="5" t="s">
        <v>51</v>
      </c>
      <c r="C132" s="5" t="s">
        <v>25</v>
      </c>
      <c r="D132" s="3" t="s">
        <v>26</v>
      </c>
      <c r="E132" s="4">
        <v>23</v>
      </c>
      <c r="F132" s="29">
        <v>22</v>
      </c>
      <c r="G132" s="24">
        <f t="shared" si="0"/>
        <v>45</v>
      </c>
    </row>
    <row r="133" spans="1:7" x14ac:dyDescent="0.3">
      <c r="A133" s="3">
        <v>24</v>
      </c>
      <c r="B133" s="5" t="s">
        <v>51</v>
      </c>
      <c r="C133" s="5" t="s">
        <v>135</v>
      </c>
      <c r="D133" s="3" t="s">
        <v>136</v>
      </c>
      <c r="E133" s="4">
        <v>16</v>
      </c>
      <c r="F133" s="6">
        <v>30</v>
      </c>
      <c r="G133" s="24">
        <f t="shared" si="0"/>
        <v>46</v>
      </c>
    </row>
    <row r="134" spans="1:7" x14ac:dyDescent="0.3">
      <c r="A134" s="3">
        <v>25</v>
      </c>
      <c r="B134" s="5" t="s">
        <v>51</v>
      </c>
      <c r="C134" s="5" t="s">
        <v>160</v>
      </c>
      <c r="D134" s="5" t="s">
        <v>7</v>
      </c>
      <c r="E134" s="4">
        <v>26</v>
      </c>
      <c r="F134" s="29">
        <v>21</v>
      </c>
      <c r="G134" s="24">
        <f t="shared" si="0"/>
        <v>47</v>
      </c>
    </row>
    <row r="135" spans="1:7" x14ac:dyDescent="0.3">
      <c r="A135" s="3">
        <v>26</v>
      </c>
      <c r="B135" s="5" t="s">
        <v>51</v>
      </c>
      <c r="C135" s="5" t="s">
        <v>124</v>
      </c>
      <c r="D135" s="5" t="s">
        <v>125</v>
      </c>
      <c r="E135" s="4">
        <v>19</v>
      </c>
      <c r="F135" s="29">
        <v>32</v>
      </c>
      <c r="G135" s="24">
        <f t="shared" si="0"/>
        <v>51</v>
      </c>
    </row>
    <row r="136" spans="1:7" x14ac:dyDescent="0.3">
      <c r="A136" s="3">
        <v>27</v>
      </c>
      <c r="B136" s="5" t="s">
        <v>51</v>
      </c>
      <c r="C136" s="5" t="s">
        <v>8</v>
      </c>
      <c r="D136" s="3" t="s">
        <v>9</v>
      </c>
      <c r="E136" s="4">
        <v>27</v>
      </c>
      <c r="F136" s="29">
        <v>25</v>
      </c>
      <c r="G136" s="24">
        <f t="shared" si="0"/>
        <v>52</v>
      </c>
    </row>
    <row r="137" spans="1:7" x14ac:dyDescent="0.3">
      <c r="A137" s="3">
        <v>28</v>
      </c>
      <c r="B137" s="9" t="s">
        <v>51</v>
      </c>
      <c r="C137" s="5" t="s">
        <v>156</v>
      </c>
      <c r="D137" s="5" t="s">
        <v>28</v>
      </c>
      <c r="E137" s="4">
        <v>29</v>
      </c>
      <c r="F137" s="29">
        <v>26</v>
      </c>
      <c r="G137" s="24">
        <f t="shared" si="0"/>
        <v>55</v>
      </c>
    </row>
    <row r="138" spans="1:7" x14ac:dyDescent="0.3">
      <c r="A138" s="3">
        <v>29</v>
      </c>
      <c r="B138" s="5" t="s">
        <v>51</v>
      </c>
      <c r="C138" s="5" t="s">
        <v>157</v>
      </c>
      <c r="D138" s="5" t="s">
        <v>158</v>
      </c>
      <c r="E138" s="4">
        <v>28</v>
      </c>
      <c r="F138" s="29">
        <v>29</v>
      </c>
      <c r="G138" s="24">
        <f t="shared" si="0"/>
        <v>57</v>
      </c>
    </row>
    <row r="139" spans="1:7" x14ac:dyDescent="0.3">
      <c r="A139" s="3">
        <v>30</v>
      </c>
      <c r="B139" s="5" t="s">
        <v>51</v>
      </c>
      <c r="C139" s="5" t="s">
        <v>13</v>
      </c>
      <c r="D139" s="5" t="s">
        <v>14</v>
      </c>
      <c r="E139" s="4">
        <v>36</v>
      </c>
      <c r="F139" s="29">
        <v>27</v>
      </c>
      <c r="G139" s="24">
        <f t="shared" si="0"/>
        <v>63</v>
      </c>
    </row>
    <row r="140" spans="1:7" x14ac:dyDescent="0.3">
      <c r="A140" s="3">
        <v>31</v>
      </c>
      <c r="B140" s="5" t="s">
        <v>51</v>
      </c>
      <c r="C140" s="5" t="s">
        <v>119</v>
      </c>
      <c r="D140" s="5" t="s">
        <v>120</v>
      </c>
      <c r="E140" s="4">
        <v>31</v>
      </c>
      <c r="F140" s="29">
        <v>33</v>
      </c>
      <c r="G140" s="24">
        <f t="shared" si="0"/>
        <v>64</v>
      </c>
    </row>
    <row r="141" spans="1:7" x14ac:dyDescent="0.3">
      <c r="A141" s="3">
        <v>32</v>
      </c>
      <c r="B141" s="9" t="s">
        <v>51</v>
      </c>
      <c r="C141" s="5" t="s">
        <v>165</v>
      </c>
      <c r="D141" s="3" t="s">
        <v>166</v>
      </c>
      <c r="E141" s="4">
        <v>40</v>
      </c>
      <c r="F141" s="29">
        <v>24</v>
      </c>
      <c r="G141" s="24">
        <f t="shared" si="0"/>
        <v>64</v>
      </c>
    </row>
    <row r="142" spans="1:7" x14ac:dyDescent="0.3">
      <c r="A142" s="3">
        <v>33</v>
      </c>
      <c r="B142" s="5" t="s">
        <v>51</v>
      </c>
      <c r="C142" s="3" t="s">
        <v>143</v>
      </c>
      <c r="D142" s="3" t="s">
        <v>144</v>
      </c>
      <c r="E142" s="4">
        <v>25</v>
      </c>
      <c r="F142" s="6">
        <v>40</v>
      </c>
      <c r="G142" s="24">
        <f t="shared" si="0"/>
        <v>65</v>
      </c>
    </row>
    <row r="143" spans="1:7" x14ac:dyDescent="0.3">
      <c r="A143" s="3">
        <v>34</v>
      </c>
      <c r="B143" s="5" t="s">
        <v>51</v>
      </c>
      <c r="C143" s="5" t="s">
        <v>153</v>
      </c>
      <c r="D143" s="5" t="s">
        <v>154</v>
      </c>
      <c r="E143" s="4">
        <v>35</v>
      </c>
      <c r="F143" s="6">
        <v>31</v>
      </c>
      <c r="G143" s="24">
        <f t="shared" si="0"/>
        <v>66</v>
      </c>
    </row>
    <row r="144" spans="1:7" x14ac:dyDescent="0.3">
      <c r="A144" s="3">
        <v>35</v>
      </c>
      <c r="B144" s="5" t="s">
        <v>51</v>
      </c>
      <c r="C144" s="5" t="s">
        <v>126</v>
      </c>
      <c r="D144" s="3" t="s">
        <v>34</v>
      </c>
      <c r="E144" s="4">
        <v>32</v>
      </c>
      <c r="F144" s="29">
        <v>35</v>
      </c>
      <c r="G144" s="24">
        <f t="shared" si="0"/>
        <v>67</v>
      </c>
    </row>
    <row r="145" spans="1:7" x14ac:dyDescent="0.3">
      <c r="A145" s="3">
        <v>36</v>
      </c>
      <c r="B145" s="5" t="s">
        <v>51</v>
      </c>
      <c r="C145" s="8" t="s">
        <v>127</v>
      </c>
      <c r="D145" s="5" t="s">
        <v>128</v>
      </c>
      <c r="E145" s="4">
        <v>33</v>
      </c>
      <c r="F145" s="29">
        <v>37</v>
      </c>
      <c r="G145" s="24">
        <f t="shared" si="0"/>
        <v>70</v>
      </c>
    </row>
    <row r="146" spans="1:7" x14ac:dyDescent="0.3">
      <c r="A146" s="3">
        <v>37</v>
      </c>
      <c r="B146" s="5" t="s">
        <v>51</v>
      </c>
      <c r="C146" s="5" t="s">
        <v>32</v>
      </c>
      <c r="D146" s="5" t="s">
        <v>118</v>
      </c>
      <c r="E146" s="4">
        <v>34</v>
      </c>
      <c r="F146" s="6">
        <v>36</v>
      </c>
      <c r="G146" s="24">
        <f t="shared" si="0"/>
        <v>70</v>
      </c>
    </row>
    <row r="147" spans="1:7" x14ac:dyDescent="0.3">
      <c r="A147" s="3">
        <v>38</v>
      </c>
      <c r="B147" s="5" t="s">
        <v>51</v>
      </c>
      <c r="C147" s="5" t="s">
        <v>149</v>
      </c>
      <c r="D147" s="5" t="s">
        <v>150</v>
      </c>
      <c r="E147" s="4">
        <v>37</v>
      </c>
      <c r="F147" s="29">
        <v>39</v>
      </c>
      <c r="G147" s="24">
        <f t="shared" si="0"/>
        <v>76</v>
      </c>
    </row>
    <row r="148" spans="1:7" x14ac:dyDescent="0.3">
      <c r="A148" s="3">
        <v>39</v>
      </c>
      <c r="B148" s="5" t="s">
        <v>51</v>
      </c>
      <c r="C148" s="5" t="s">
        <v>129</v>
      </c>
      <c r="D148" s="3" t="s">
        <v>130</v>
      </c>
      <c r="E148" s="6">
        <v>38</v>
      </c>
      <c r="F148" s="29">
        <v>41</v>
      </c>
      <c r="G148" s="24">
        <f t="shared" si="0"/>
        <v>79</v>
      </c>
    </row>
    <row r="149" spans="1:7" x14ac:dyDescent="0.3">
      <c r="A149" s="3">
        <v>40</v>
      </c>
      <c r="B149" s="5" t="s">
        <v>51</v>
      </c>
      <c r="C149" s="5" t="s">
        <v>145</v>
      </c>
      <c r="D149" s="5" t="s">
        <v>146</v>
      </c>
      <c r="E149" s="4">
        <v>41</v>
      </c>
      <c r="F149" s="29">
        <v>38</v>
      </c>
      <c r="G149" s="24">
        <f t="shared" si="0"/>
        <v>79</v>
      </c>
    </row>
    <row r="150" spans="1:7" x14ac:dyDescent="0.3">
      <c r="A150" s="3">
        <v>41</v>
      </c>
      <c r="B150" s="5" t="s">
        <v>51</v>
      </c>
      <c r="C150" s="5" t="s">
        <v>147</v>
      </c>
      <c r="D150" s="5" t="s">
        <v>148</v>
      </c>
      <c r="E150" s="4">
        <v>39</v>
      </c>
      <c r="F150" s="37">
        <v>43</v>
      </c>
      <c r="G150" s="24">
        <f t="shared" si="0"/>
        <v>82</v>
      </c>
    </row>
    <row r="151" spans="1:7" x14ac:dyDescent="0.3">
      <c r="A151" s="3">
        <v>42</v>
      </c>
      <c r="B151" s="5" t="s">
        <v>51</v>
      </c>
      <c r="C151" s="5" t="s">
        <v>167</v>
      </c>
      <c r="D151" s="3" t="s">
        <v>168</v>
      </c>
      <c r="E151" s="34">
        <v>49</v>
      </c>
      <c r="F151" s="6">
        <v>34</v>
      </c>
      <c r="G151" s="24">
        <f t="shared" si="0"/>
        <v>83</v>
      </c>
    </row>
    <row r="152" spans="1:7" x14ac:dyDescent="0.3">
      <c r="A152" s="3">
        <v>43</v>
      </c>
      <c r="B152" s="5" t="s">
        <v>51</v>
      </c>
      <c r="C152" s="5" t="s">
        <v>169</v>
      </c>
      <c r="D152" s="5" t="s">
        <v>170</v>
      </c>
      <c r="E152" s="4">
        <v>42</v>
      </c>
      <c r="F152" s="29">
        <v>42</v>
      </c>
      <c r="G152" s="24">
        <f t="shared" si="0"/>
        <v>84</v>
      </c>
    </row>
    <row r="153" spans="1:7" x14ac:dyDescent="0.3">
      <c r="A153" s="3">
        <v>44</v>
      </c>
      <c r="B153" s="5" t="s">
        <v>51</v>
      </c>
      <c r="C153" s="8" t="s">
        <v>131</v>
      </c>
      <c r="D153" s="3" t="s">
        <v>132</v>
      </c>
      <c r="E153" s="33">
        <v>49</v>
      </c>
      <c r="F153" s="33">
        <v>49</v>
      </c>
      <c r="G153" s="24">
        <f t="shared" si="0"/>
        <v>98</v>
      </c>
    </row>
    <row r="154" spans="1:7" x14ac:dyDescent="0.3">
      <c r="A154" s="3">
        <v>45</v>
      </c>
      <c r="B154" s="5" t="s">
        <v>51</v>
      </c>
      <c r="C154" s="5" t="s">
        <v>141</v>
      </c>
      <c r="D154" s="3" t="s">
        <v>142</v>
      </c>
      <c r="E154" s="33">
        <v>49</v>
      </c>
      <c r="F154" s="33">
        <v>49</v>
      </c>
      <c r="G154" s="24">
        <f t="shared" si="0"/>
        <v>98</v>
      </c>
    </row>
    <row r="155" spans="1:7" x14ac:dyDescent="0.3">
      <c r="A155" s="3">
        <v>46</v>
      </c>
      <c r="B155" s="5" t="s">
        <v>51</v>
      </c>
      <c r="C155" s="5" t="s">
        <v>134</v>
      </c>
      <c r="D155" s="5" t="s">
        <v>3</v>
      </c>
      <c r="E155" s="33">
        <v>49</v>
      </c>
      <c r="F155" s="33">
        <v>49</v>
      </c>
      <c r="G155" s="24">
        <f t="shared" si="0"/>
        <v>98</v>
      </c>
    </row>
    <row r="156" spans="1:7" x14ac:dyDescent="0.3">
      <c r="A156" s="3">
        <v>47</v>
      </c>
      <c r="B156" s="9" t="s">
        <v>51</v>
      </c>
      <c r="C156" s="8" t="s">
        <v>115</v>
      </c>
      <c r="D156" s="5" t="s">
        <v>116</v>
      </c>
      <c r="E156" s="33">
        <v>49</v>
      </c>
      <c r="F156" s="33">
        <v>49</v>
      </c>
      <c r="G156" s="24">
        <f t="shared" si="0"/>
        <v>98</v>
      </c>
    </row>
    <row r="157" spans="1:7" x14ac:dyDescent="0.3">
      <c r="A157" s="3">
        <v>48</v>
      </c>
      <c r="B157" s="5" t="s">
        <v>51</v>
      </c>
      <c r="C157" s="5" t="s">
        <v>192</v>
      </c>
      <c r="D157" s="3" t="s">
        <v>178</v>
      </c>
      <c r="E157" s="33">
        <v>49</v>
      </c>
      <c r="F157" s="33">
        <v>49</v>
      </c>
      <c r="G157" s="24">
        <f t="shared" si="0"/>
        <v>98</v>
      </c>
    </row>
    <row r="159" spans="1:7" x14ac:dyDescent="0.3">
      <c r="B159" s="37" t="s">
        <v>194</v>
      </c>
      <c r="C159" s="25" t="s">
        <v>55</v>
      </c>
      <c r="D159" s="28" t="s">
        <v>56</v>
      </c>
      <c r="E159" s="26" t="s">
        <v>54</v>
      </c>
      <c r="F159" s="27" t="s">
        <v>57</v>
      </c>
    </row>
  </sheetData>
  <autoFilter ref="B109:G109"/>
  <sortState ref="C119:G166">
    <sortCondition ref="G119:G166"/>
  </sortState>
  <mergeCells count="6">
    <mergeCell ref="A108:G108"/>
    <mergeCell ref="A1:F1"/>
    <mergeCell ref="A2:F2"/>
    <mergeCell ref="A54:F54"/>
    <mergeCell ref="A55:F55"/>
    <mergeCell ref="A107:G107"/>
  </mergeCells>
  <printOptions horizontalCentered="1"/>
  <pageMargins left="0.5" right="0" top="0.75" bottom="0.75" header="0.3" footer="0.3"/>
  <pageSetup scale="85" fitToHeight="3" orientation="portrait" r:id="rId1"/>
  <rowBreaks count="2" manualBreakCount="2">
    <brk id="53" max="6" man="1"/>
    <brk id="106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Div A</vt:lpstr>
      <vt:lpstr>Div B</vt:lpstr>
      <vt:lpstr>OP</vt:lpstr>
      <vt:lpstr>'Div A'!Print_Area</vt:lpstr>
      <vt:lpstr>'Div B'!Print_Area</vt:lpstr>
      <vt:lpstr>OP!Print_Area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Ho</dc:creator>
  <cp:lastModifiedBy>Angela Ho</cp:lastModifiedBy>
  <cp:lastPrinted>2017-09-10T11:00:02Z</cp:lastPrinted>
  <dcterms:modified xsi:type="dcterms:W3CDTF">2017-09-10T11:14:55Z</dcterms:modified>
</cp:coreProperties>
</file>